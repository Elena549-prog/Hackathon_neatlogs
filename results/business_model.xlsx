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odel_Base" sheetId="3" state="visible" r:id="rId3"/>
    <sheet xmlns:r="http://schemas.openxmlformats.org/officeDocument/2006/relationships" name="Model_Growth" sheetId="4" state="visible" r:id="rId4"/>
    <sheet xmlns:r="http://schemas.openxmlformats.org/officeDocument/2006/relationships" name="Unit_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;($#,##0.00);&quot;-&quot;"/>
    <numFmt numFmtId="165" formatCode="#,##0;(#,##0);&quot;-&quot;"/>
    <numFmt numFmtId="166" formatCode="0.0%;(0.0%);&quot;-&quot;"/>
    <numFmt numFmtId="167" formatCode="#,##0.0;(#,##0.0);&quot;-&quot;"/>
    <numFmt numFmtId="168" formatCode="$0.000;($0.000);&quot;-&quot;"/>
    <numFmt numFmtId="169" formatCode="$#,##0;($#,##0);&quot;-&quot;"/>
    <numFmt numFmtId="170" formatCode="0.0"/>
    <numFmt numFmtId="171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000000"/>
      <sz val="9"/>
    </font>
    <font>
      <name val="Arial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color rgb="00008000"/>
      <sz val="10"/>
    </font>
    <font>
      <name val="Arial"/>
      <b val="1"/>
      <color rgb="0000000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7" fontId="8" fillId="0" borderId="0" pivotButton="0" quotePrefix="0" xfId="0"/>
    <xf numFmtId="0" fontId="3" fillId="0" borderId="0" pivotButton="0" quotePrefix="0" xfId="0"/>
    <xf numFmtId="169" fontId="8" fillId="0" borderId="0" pivotButton="0" quotePrefix="0" xfId="0"/>
    <xf numFmtId="166" fontId="8" fillId="0" borderId="0" pivotButton="0" quotePrefix="0" xfId="0"/>
    <xf numFmtId="169" fontId="5" fillId="0" borderId="0" pivotButton="0" quotePrefix="0" xfId="0"/>
    <xf numFmtId="165" fontId="5" fillId="0" borderId="0" pivotButton="0" quotePrefix="0" xfId="0"/>
    <xf numFmtId="164" fontId="8" fillId="0" borderId="0" pivotButton="0" quotePrefix="0" xfId="0"/>
    <xf numFmtId="171" fontId="8" fillId="0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164" fontId="6" fillId="3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5" fillId="0" borderId="0" pivotButton="0" quotePrefix="0" xfId="0"/>
    <xf numFmtId="168" fontId="6" fillId="0" borderId="0" pivotButton="0" quotePrefix="0" xfId="0"/>
    <xf numFmtId="164" fontId="6" fillId="0" borderId="0" pivotButton="0" quotePrefix="0" xfId="0"/>
    <xf numFmtId="165" fontId="6" fillId="3" borderId="0" pivotButton="0" quotePrefix="0" xfId="0"/>
    <xf numFmtId="166" fontId="6" fillId="3" borderId="0" pivotButton="0" quotePrefix="0" xfId="0"/>
    <xf numFmtId="169" fontId="6" fillId="3" borderId="0" pivotButton="0" quotePrefix="0" xfId="0"/>
    <xf numFmtId="0" fontId="4" fillId="0" borderId="0" pivotButton="0" quotePrefix="0" xfId="0"/>
    <xf numFmtId="165" fontId="7" fillId="2" borderId="0" pivotButton="0" quotePrefix="0" xfId="0"/>
    <xf numFmtId="165" fontId="4" fillId="2" borderId="0" pivotButton="0" quotePrefix="0" xfId="0"/>
    <xf numFmtId="166" fontId="5" fillId="0" borderId="0" pivotButton="0" quotePrefix="0" xfId="0"/>
    <xf numFmtId="164" fontId="5" fillId="0" borderId="0" pivotButton="0" quotePrefix="0" xfId="0"/>
    <xf numFmtId="170" fontId="5" fillId="0" borderId="0" pivotButton="0" quotePrefix="0" xfId="0"/>
    <xf numFmtId="171" fontId="5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trading-swarm</author>
  </authors>
  <commentList>
    <comment ref="B11" authorId="0" shapeId="0">
      <text>
        <t>Measured upper bound from the 2026-10-10 validation run. See results/README.md.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12" customWidth="1" min="4" max="4"/>
  </cols>
  <sheetData>
    <row r="1">
      <c r="A1" s="1" t="inlineStr">
        <is>
          <t>Trading swarm: business plan summary</t>
        </is>
      </c>
      <c r="B1" s="2" t="n"/>
      <c r="C1" s="2" t="n"/>
      <c r="D1" s="2" t="n"/>
    </row>
    <row r="2">
      <c r="A2" s="3" t="inlineStr">
        <is>
          <t>Two scenarios over 24 months. Change inputs on the Assumptions sheet; everything here recalculates.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Metric</t>
        </is>
      </c>
      <c r="B4" s="4" t="inlineStr">
        <is>
          <t>Base</t>
        </is>
      </c>
      <c r="C4" s="4" t="inlineStr">
        <is>
          <t>Growth</t>
        </is>
      </c>
      <c r="D4" s="4" t="inlineStr">
        <is>
          <t>Unit</t>
        </is>
      </c>
    </row>
    <row r="5">
      <c r="A5" s="5" t="inlineStr">
        <is>
          <t>Customers, month 12</t>
        </is>
      </c>
      <c r="B5" s="6">
        <f>Model_Base!N9</f>
        <v/>
      </c>
      <c r="C5" s="6">
        <f>Model_Growth!N9</f>
        <v/>
      </c>
      <c r="D5" s="7" t="inlineStr">
        <is>
          <t>customers</t>
        </is>
      </c>
    </row>
    <row r="6">
      <c r="A6" s="5" t="inlineStr">
        <is>
          <t>Customers, month 24</t>
        </is>
      </c>
      <c r="B6" s="6">
        <f>Model_Base!Z9</f>
        <v/>
      </c>
      <c r="C6" s="6">
        <f>Model_Growth!Z9</f>
        <v/>
      </c>
      <c r="D6" s="7" t="inlineStr">
        <is>
          <t>customers</t>
        </is>
      </c>
    </row>
    <row r="7">
      <c r="A7" s="5" t="inlineStr">
        <is>
          <t>MRR, month 12</t>
        </is>
      </c>
      <c r="B7" s="8">
        <f>Model_Base!N11</f>
        <v/>
      </c>
      <c r="C7" s="8">
        <f>Model_Growth!N11</f>
        <v/>
      </c>
      <c r="D7" s="7" t="inlineStr">
        <is>
          <t>$ / month</t>
        </is>
      </c>
    </row>
    <row r="8">
      <c r="A8" s="5" t="inlineStr">
        <is>
          <t>MRR, month 24</t>
        </is>
      </c>
      <c r="B8" s="8">
        <f>Model_Base!Z11</f>
        <v/>
      </c>
      <c r="C8" s="8">
        <f>Model_Growth!Z11</f>
        <v/>
      </c>
      <c r="D8" s="7" t="inlineStr">
        <is>
          <t>$ / month</t>
        </is>
      </c>
    </row>
    <row r="9">
      <c r="A9" s="5" t="inlineStr">
        <is>
          <t>Gross margin, month 24</t>
        </is>
      </c>
      <c r="B9" s="9">
        <f>Model_Base!Z16</f>
        <v/>
      </c>
      <c r="C9" s="9">
        <f>Model_Growth!Z16</f>
        <v/>
      </c>
      <c r="D9" s="7" t="inlineStr">
        <is>
          <t>%</t>
        </is>
      </c>
    </row>
    <row r="10">
      <c r="A10" s="5" t="inlineStr">
        <is>
          <t>Revenue, months 1-24</t>
        </is>
      </c>
      <c r="B10" s="10">
        <f>SUM(Model_Base!C11:Z11)</f>
        <v/>
      </c>
      <c r="C10" s="10">
        <f>SUM(Model_Growth!C11:Z11)</f>
        <v/>
      </c>
      <c r="D10" s="7" t="inlineStr">
        <is>
          <t>$</t>
        </is>
      </c>
    </row>
    <row r="11">
      <c r="A11" s="5" t="inlineStr">
        <is>
          <t>Operating profit, months 1-24</t>
        </is>
      </c>
      <c r="B11" s="10">
        <f>SUM(Model_Base!C22:Z22)</f>
        <v/>
      </c>
      <c r="C11" s="10">
        <f>SUM(Model_Growth!C22:Z22)</f>
        <v/>
      </c>
      <c r="D11" s="7" t="inlineStr">
        <is>
          <t>$</t>
        </is>
      </c>
    </row>
    <row r="12">
      <c r="A12" s="5" t="inlineStr">
        <is>
          <t>Lowest cash balance</t>
        </is>
      </c>
      <c r="B12" s="10">
        <f>MIN(Model_Base!C25:Z25)</f>
        <v/>
      </c>
      <c r="C12" s="10">
        <f>MIN(Model_Growth!C25:Z25)</f>
        <v/>
      </c>
      <c r="D12" s="7" t="inlineStr">
        <is>
          <t>$</t>
        </is>
      </c>
    </row>
    <row r="13">
      <c r="A13" s="5" t="inlineStr">
        <is>
          <t>Cash, end of month 24</t>
        </is>
      </c>
      <c r="B13" s="8">
        <f>Model_Base!Z25</f>
        <v/>
      </c>
      <c r="C13" s="8">
        <f>Model_Growth!Z25</f>
        <v/>
      </c>
      <c r="D13" s="7" t="inlineStr">
        <is>
          <t>$</t>
        </is>
      </c>
    </row>
    <row r="14">
      <c r="A14" s="5" t="inlineStr">
        <is>
          <t>Runway: first month cash goes below zero</t>
        </is>
      </c>
      <c r="B14" s="11">
        <f>IF(SUM(Model_Base!C27:Z27)=0,"none within 24 months",MATCH(1,Model_Base!C27:Z27,0))</f>
        <v/>
      </c>
      <c r="C14" s="11">
        <f>IF(SUM(Model_Growth!C27:Z27)=0,"none within 24 months",MATCH(1,Model_Growth!C27:Z27,0))</f>
        <v/>
      </c>
      <c r="D14" s="7" t="inlineStr">
        <is>
          <t>month</t>
        </is>
      </c>
    </row>
    <row r="15">
      <c r="A15" s="5" t="inlineStr">
        <is>
          <t>Break-even: first month of operating profit</t>
        </is>
      </c>
      <c r="B15" s="11">
        <f>IF(SUM(Model_Base!C28:Z28)=0,"not within 24 months",MATCH(1,Model_Base!C28:Z28,0))</f>
        <v/>
      </c>
      <c r="C15" s="11">
        <f>IF(SUM(Model_Growth!C28:Z28)=0,"not within 24 months",MATCH(1,Model_Growth!C28:Z28,0))</f>
        <v/>
      </c>
      <c r="D15" s="7" t="inlineStr">
        <is>
          <t>month</t>
        </is>
      </c>
    </row>
    <row r="16">
      <c r="A16" s="5" t="inlineStr">
        <is>
          <t>Funding needed to never go below zero</t>
        </is>
      </c>
      <c r="B16" s="10">
        <f>MAX(0,-MIN(Model_Base!C25:Z25))</f>
        <v/>
      </c>
      <c r="C16" s="10">
        <f>MAX(0,-MIN(Model_Growth!C25:Z25))</f>
        <v/>
      </c>
      <c r="D16" s="7" t="inlineStr">
        <is>
          <t>$</t>
        </is>
      </c>
    </row>
    <row r="17">
      <c r="A17" s="5" t="inlineStr">
        <is>
          <t>Contribution margin per watchlist</t>
        </is>
      </c>
      <c r="B17" s="12">
        <f>Unit_Economics!B8</f>
        <v/>
      </c>
      <c r="C17" s="12">
        <f>Unit_Economics!C8</f>
        <v/>
      </c>
      <c r="D17" s="7" t="inlineStr">
        <is>
          <t>$ / month</t>
        </is>
      </c>
    </row>
    <row r="18">
      <c r="A18" s="5" t="inlineStr">
        <is>
          <t>LTV to CAC</t>
        </is>
      </c>
      <c r="B18" s="13">
        <f>Unit_Economics!B13</f>
        <v/>
      </c>
      <c r="C18" s="13">
        <f>Unit_Economics!C13</f>
        <v/>
      </c>
      <c r="D18" s="7" t="inlineStr">
        <is>
          <t>x</t>
        </is>
      </c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14" t="inlineStr">
        <is>
          <t>How to read this:</t>
        </is>
      </c>
      <c r="B21" s="2" t="n"/>
      <c r="C21" s="2" t="n"/>
      <c r="D21" s="2" t="n"/>
    </row>
    <row r="22">
      <c r="A22" s="7" t="inlineStr">
        <is>
          <t>- Variable cost per watchlist is driven by measured LLM spend ($0.038 per decision, an upper bound at peak prices).</t>
        </is>
      </c>
      <c r="B22" s="2" t="n"/>
      <c r="C22" s="2" t="n"/>
      <c r="D22" s="2" t="n"/>
    </row>
    <row r="23">
      <c r="A23" s="7" t="inlineStr">
        <is>
          <t>- The swarm's validation result (1 of 577 setups approved) is a product property: it refuses trades without evidence.</t>
        </is>
      </c>
      <c r="B23" s="2" t="n"/>
      <c r="C23" s="2" t="n"/>
      <c r="D23" s="2" t="n"/>
    </row>
    <row r="24">
      <c r="A24" s="7" t="inlineStr">
        <is>
          <t xml:space="preserve">  The plan does not assume the swarm makes money for customers.</t>
        </is>
      </c>
      <c r="B24" s="2" t="n"/>
      <c r="C24" s="2" t="n"/>
      <c r="D24" s="2" t="n"/>
    </row>
    <row r="25">
      <c r="A25" s="7" t="inlineStr">
        <is>
          <t>- Customer numbers, price, churn, CAC, team cost and starting cash are owner estimates (yellow on Assumptions).</t>
        </is>
      </c>
      <c r="B25" s="2" t="n"/>
      <c r="C25" s="2" t="n"/>
      <c r="D25" s="2" t="n"/>
    </row>
    <row r="26">
      <c r="A26" s="7" t="inlineStr">
        <is>
          <t>- No fees or taxes beyond card processing are modeled.</t>
        </is>
      </c>
      <c r="B26" s="2" t="n"/>
      <c r="C26" s="2" t="n"/>
      <c r="D2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3" customWidth="1" min="4" max="4"/>
    <col width="80" customWidth="1" min="5" max="5"/>
  </cols>
  <sheetData>
    <row r="1">
      <c r="A1" s="1" t="inlineStr">
        <is>
          <t>Trading swarm: business model assumptions</t>
        </is>
      </c>
      <c r="B1" s="2" t="n"/>
      <c r="C1" s="2" t="n"/>
      <c r="D1" s="2" t="n"/>
      <c r="E1" s="2" t="n"/>
    </row>
    <row r="2">
      <c r="A2" s="3" t="inlineStr">
        <is>
          <t>Legend: blue = input you can change. Yellow = key assumption to confirm (owner's estimate, not measured). Black = formula. Green = link to another sheet. Column B feeds Model_Base, column C feeds Model_Growth.</t>
        </is>
      </c>
      <c r="B2" s="2" t="n"/>
      <c r="C2" s="2" t="n"/>
      <c r="D2" s="2" t="n"/>
      <c r="E2" s="2" t="n"/>
    </row>
    <row r="3" ht="40" customHeight="1">
      <c r="A3" s="15" t="inlineStr">
        <is>
          <t>Product: a pre-trade gate for paper and retail algo traders. For each watchlist ticker, every trading day, a four-agent swarm decides whether a +5%/-3%/10-day trade has evidence behind it, and refuses when it doesn't. Priced per watchlist (5 tickers) per month.</t>
        </is>
      </c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>
      <c r="A5" s="16" t="inlineStr">
        <is>
          <t>Assumption</t>
        </is>
      </c>
      <c r="B5" s="16" t="inlineStr">
        <is>
          <t>Base</t>
        </is>
      </c>
      <c r="C5" s="16" t="inlineStr">
        <is>
          <t>Growth</t>
        </is>
      </c>
      <c r="D5" s="16" t="inlineStr">
        <is>
          <t>Unit</t>
        </is>
      </c>
      <c r="E5" s="16" t="inlineStr">
        <is>
          <t>Source or note</t>
        </is>
      </c>
    </row>
    <row r="6" ht="30" customHeight="1">
      <c r="A6" s="5" t="inlineStr">
        <is>
          <t>Price per watchlist per month</t>
        </is>
      </c>
      <c r="B6" s="17" t="n">
        <v>19</v>
      </c>
      <c r="C6" s="17" t="n">
        <v>19</v>
      </c>
      <c r="D6" s="7" t="inlineStr">
        <is>
          <t>$ / month</t>
        </is>
      </c>
      <c r="E6" s="15" t="inlineStr">
        <is>
          <t>Owner assumption: a hobbyist-tier subscription price. Not tested with customers.</t>
        </is>
      </c>
    </row>
    <row r="7" ht="30" customHeight="1">
      <c r="A7" s="5" t="inlineStr">
        <is>
          <t>Tickers per watchlist</t>
        </is>
      </c>
      <c r="B7" s="18" t="n">
        <v>5</v>
      </c>
      <c r="C7" s="18" t="n">
        <v>5</v>
      </c>
      <c r="D7" s="7" t="inlineStr">
        <is>
          <t>tickers</t>
        </is>
      </c>
      <c r="E7" s="15" t="inlineStr">
        <is>
          <t>Matches the project's 5-ticker watchlist (AAPL, MSFT, GOOGL, AMZN, NVDA).</t>
        </is>
      </c>
    </row>
    <row r="8" ht="15" customHeight="1">
      <c r="A8" s="5" t="inlineStr">
        <is>
          <t>Trading days per month</t>
        </is>
      </c>
      <c r="B8" s="18" t="n">
        <v>21</v>
      </c>
      <c r="C8" s="18" t="n">
        <v>21</v>
      </c>
      <c r="D8" s="7" t="inlineStr">
        <is>
          <t>days</t>
        </is>
      </c>
      <c r="E8" s="15" t="inlineStr">
        <is>
          <t>About 252 US trading days a year / 12.</t>
        </is>
      </c>
    </row>
    <row r="9" ht="30" customHeight="1">
      <c r="A9" s="5" t="inlineStr">
        <is>
          <t>Share of days the price watcher wakes the swarm</t>
        </is>
      </c>
      <c r="B9" s="19" t="n">
        <v>0.123</v>
      </c>
      <c r="C9" s="19" t="n">
        <v>0.123</v>
      </c>
      <c r="D9" s="7" t="inlineStr">
        <is>
          <t>%</t>
        </is>
      </c>
      <c r="E9" s="15" t="inlineStr">
        <is>
          <t>Measured on the train split: a 1-day move of at least 1.5x the 20-day volatility on 12.3% of days (17.0% on validation). Quiet days cost nothing: no LLM call (docs/SWARM_SPEC.md section 15).</t>
        </is>
      </c>
    </row>
    <row r="10" ht="15" customHeight="1">
      <c r="A10" s="5" t="inlineStr">
        <is>
          <t>Swarm decisions per watchlist per month</t>
        </is>
      </c>
      <c r="B10" s="20">
        <f>B7*B8*B9</f>
        <v/>
      </c>
      <c r="C10" s="20">
        <f>C7*C8*C9</f>
        <v/>
      </c>
      <c r="D10" s="7" t="inlineStr">
        <is>
          <t>decisions</t>
        </is>
      </c>
      <c r="E10" s="15" t="inlineStr">
        <is>
          <t>Formula: tickers x trading days x watcher share.</t>
        </is>
      </c>
    </row>
    <row r="11" ht="30" customHeight="1">
      <c r="A11" s="5" t="inlineStr">
        <is>
          <t>LLM cost per decision</t>
        </is>
      </c>
      <c r="B11" s="21" t="n">
        <v>0.038</v>
      </c>
      <c r="C11" s="21" t="n">
        <v>0.038</v>
      </c>
      <c r="D11" s="7" t="inlineStr">
        <is>
          <t>$ / decision</t>
        </is>
      </c>
      <c r="E11" s="15" t="inlineStr">
        <is>
          <t>Measured: $11.76 logged over 310 validation setups on 2026-10-10 (results/README.md), with two Planner rounds per setup. Upper bound: DeepSeek peak, cache-miss prices; off-peak is half. The second round now only runs for fixable failures, so the real figure should be lower; re-measure with the next run.</t>
        </is>
      </c>
    </row>
    <row r="12" ht="30" customHeight="1">
      <c r="A12" s="5" t="inlineStr">
        <is>
          <t>Laya inference cost per decision</t>
        </is>
      </c>
      <c r="B12" s="21" t="n">
        <v>0</v>
      </c>
      <c r="C12" s="21" t="n">
        <v>0</v>
      </c>
      <c r="D12" s="7" t="inlineStr">
        <is>
          <t>$ / decision</t>
        </is>
      </c>
      <c r="E12" s="15" t="inlineStr">
        <is>
          <t>Laya is a local classifier (about 33 ms per question on a T4 GPU). Marginal cost about zero; set above zero if it runs on paid GPUs. Not used in production unless the step 9 go/no-go passes.</t>
        </is>
      </c>
    </row>
    <row r="13" ht="15" customHeight="1">
      <c r="A13" s="5" t="inlineStr">
        <is>
          <t>Payment fee, share of price</t>
        </is>
      </c>
      <c r="B13" s="19" t="n">
        <v>0.029</v>
      </c>
      <c r="C13" s="19" t="n">
        <v>0.029</v>
      </c>
      <c r="D13" s="7" t="inlineStr">
        <is>
          <t>%</t>
        </is>
      </c>
      <c r="E13" s="15" t="inlineStr">
        <is>
          <t>Stripe standard US card pricing: 2.9% + $0.30 per successful charge.</t>
        </is>
      </c>
    </row>
    <row r="14" ht="15" customHeight="1">
      <c r="A14" s="5" t="inlineStr">
        <is>
          <t>Payment fee, fixed per charge</t>
        </is>
      </c>
      <c r="B14" s="22" t="n">
        <v>0.3</v>
      </c>
      <c r="C14" s="22" t="n">
        <v>0.3</v>
      </c>
      <c r="D14" s="7" t="inlineStr">
        <is>
          <t>$ / charge</t>
        </is>
      </c>
      <c r="E14" s="15" t="inlineStr">
        <is>
          <t>Stripe standard US card pricing.</t>
        </is>
      </c>
    </row>
    <row r="15" ht="15" customHeight="1">
      <c r="A15" s="5" t="inlineStr">
        <is>
          <t>Customers at start</t>
        </is>
      </c>
      <c r="B15" s="18" t="n">
        <v>0</v>
      </c>
      <c r="C15" s="18" t="n">
        <v>0</v>
      </c>
      <c r="D15" s="7" t="inlineStr">
        <is>
          <t>customers</t>
        </is>
      </c>
      <c r="E15" s="15" t="inlineStr">
        <is>
          <t>Pre-launch.</t>
        </is>
      </c>
    </row>
    <row r="16" ht="30" customHeight="1">
      <c r="A16" s="5" t="inlineStr">
        <is>
          <t>New customers in month 1</t>
        </is>
      </c>
      <c r="B16" s="23" t="n">
        <v>10</v>
      </c>
      <c r="C16" s="23" t="n">
        <v>25</v>
      </c>
      <c r="D16" s="7" t="inlineStr">
        <is>
          <t>customers</t>
        </is>
      </c>
      <c r="E16" s="15" t="inlineStr">
        <is>
          <t>Owner assumption. Base: organic from build-in-public posts. Growth: plus paid acquisition.</t>
        </is>
      </c>
    </row>
    <row r="17" ht="15" customHeight="1">
      <c r="A17" s="5" t="inlineStr">
        <is>
          <t>Monthly growth in new customers</t>
        </is>
      </c>
      <c r="B17" s="24" t="n">
        <v>0.05</v>
      </c>
      <c r="C17" s="24" t="n">
        <v>0.1</v>
      </c>
      <c r="D17" s="7" t="inlineStr">
        <is>
          <t>% / month</t>
        </is>
      </c>
      <c r="E17" s="15" t="inlineStr">
        <is>
          <t>Owner assumption.</t>
        </is>
      </c>
    </row>
    <row r="18" ht="15" customHeight="1">
      <c r="A18" s="5" t="inlineStr">
        <is>
          <t>Monthly churn</t>
        </is>
      </c>
      <c r="B18" s="24" t="n">
        <v>0.08</v>
      </c>
      <c r="C18" s="24" t="n">
        <v>0.06</v>
      </c>
      <c r="D18" s="7" t="inlineStr">
        <is>
          <t>% / month</t>
        </is>
      </c>
      <c r="E18" s="15" t="inlineStr">
        <is>
          <t>Owner assumption, typical range for consumer subscriptions.</t>
        </is>
      </c>
    </row>
    <row r="19" ht="15" customHeight="1">
      <c r="A19" s="5" t="inlineStr">
        <is>
          <t>Acquisition cost per new customer (CAC)</t>
        </is>
      </c>
      <c r="B19" s="25" t="n">
        <v>30</v>
      </c>
      <c r="C19" s="25" t="n">
        <v>40</v>
      </c>
      <c r="D19" s="7" t="inlineStr">
        <is>
          <t>$ / customer</t>
        </is>
      </c>
      <c r="E19" s="15" t="inlineStr">
        <is>
          <t>Owner assumption. Growth spends more per customer on paid channels.</t>
        </is>
      </c>
    </row>
    <row r="20" ht="15" customHeight="1">
      <c r="A20" s="5" t="inlineStr">
        <is>
          <t>Hosting and tools per month</t>
        </is>
      </c>
      <c r="B20" s="25" t="n">
        <v>100</v>
      </c>
      <c r="C20" s="25" t="n">
        <v>100</v>
      </c>
      <c r="D20" s="7" t="inlineStr">
        <is>
          <t>$ / month</t>
        </is>
      </c>
      <c r="E20" s="15" t="inlineStr">
        <is>
          <t>Owner assumption: a small cloud VM plus a database.</t>
        </is>
      </c>
    </row>
    <row r="21" ht="15" customHeight="1">
      <c r="A21" s="5" t="inlineStr">
        <is>
          <t>neatlogs per month</t>
        </is>
      </c>
      <c r="B21" s="25" t="n">
        <v>0</v>
      </c>
      <c r="C21" s="25" t="n">
        <v>0</v>
      </c>
      <c r="D21" s="7" t="inlineStr">
        <is>
          <t>$ / month</t>
        </is>
      </c>
      <c r="E21" s="15" t="inlineStr">
        <is>
          <t>Placeholder: hackathon credits. Replace with the neatlogs plan price.</t>
        </is>
      </c>
    </row>
    <row r="22" ht="30" customHeight="1">
      <c r="A22" s="5" t="inlineStr">
        <is>
          <t>Team cost per month</t>
        </is>
      </c>
      <c r="B22" s="25" t="n">
        <v>2000</v>
      </c>
      <c r="C22" s="25" t="n">
        <v>6000</v>
      </c>
      <c r="D22" s="7" t="inlineStr">
        <is>
          <t>$ / month</t>
        </is>
      </c>
      <c r="E22" s="15" t="inlineStr">
        <is>
          <t>Owner assumption. Base: two part-time founders' stipend. Growth: adds one hire.</t>
        </is>
      </c>
    </row>
    <row r="23" ht="15" customHeight="1">
      <c r="A23" s="5" t="inlineStr">
        <is>
          <t>Starting cash</t>
        </is>
      </c>
      <c r="B23" s="25" t="n">
        <v>25000</v>
      </c>
      <c r="C23" s="25" t="n">
        <v>25000</v>
      </c>
      <c r="D23" s="7" t="inlineStr">
        <is>
          <t>$</t>
        </is>
      </c>
      <c r="E23" s="15" t="inlineStr">
        <is>
          <t>Owner assumption: founder-funded.</t>
        </is>
      </c>
    </row>
  </sheetData>
  <mergeCells count="1"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1" t="inlineStr">
        <is>
          <t>Base scenario: monthly model (months 1-24)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All values in $ unless the unit column says otherwise. Inputs live on the Assumptions sheet, column B.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6" t="inlineStr">
        <is>
          <t>Line</t>
        </is>
      </c>
      <c r="B3" s="26" t="inlineStr">
        <is>
          <t>Unit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Month</t>
        </is>
      </c>
      <c r="B4" s="7" t="inlineStr"/>
      <c r="C4" s="27" t="n">
        <v>1</v>
      </c>
      <c r="D4" s="28">
        <f>C4+1</f>
        <v/>
      </c>
      <c r="E4" s="28">
        <f>D4+1</f>
        <v/>
      </c>
      <c r="F4" s="28">
        <f>E4+1</f>
        <v/>
      </c>
      <c r="G4" s="28">
        <f>F4+1</f>
        <v/>
      </c>
      <c r="H4" s="28">
        <f>G4+1</f>
        <v/>
      </c>
      <c r="I4" s="28">
        <f>H4+1</f>
        <v/>
      </c>
      <c r="J4" s="28">
        <f>I4+1</f>
        <v/>
      </c>
      <c r="K4" s="28">
        <f>J4+1</f>
        <v/>
      </c>
      <c r="L4" s="28">
        <f>K4+1</f>
        <v/>
      </c>
      <c r="M4" s="28">
        <f>L4+1</f>
        <v/>
      </c>
      <c r="N4" s="28">
        <f>M4+1</f>
        <v/>
      </c>
      <c r="O4" s="28">
        <f>N4+1</f>
        <v/>
      </c>
      <c r="P4" s="28">
        <f>O4+1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" t="inlineStr">
        <is>
          <t>Customers, start of month</t>
        </is>
      </c>
      <c r="B6" s="7" t="inlineStr">
        <is>
          <t>customers</t>
        </is>
      </c>
      <c r="C6" s="6">
        <f>Assumptions!$B$15</f>
        <v/>
      </c>
      <c r="D6" s="20">
        <f>C9</f>
        <v/>
      </c>
      <c r="E6" s="20">
        <f>D9</f>
        <v/>
      </c>
      <c r="F6" s="20">
        <f>E9</f>
        <v/>
      </c>
      <c r="G6" s="20">
        <f>F9</f>
        <v/>
      </c>
      <c r="H6" s="20">
        <f>G9</f>
        <v/>
      </c>
      <c r="I6" s="20">
        <f>H9</f>
        <v/>
      </c>
      <c r="J6" s="20">
        <f>I9</f>
        <v/>
      </c>
      <c r="K6" s="20">
        <f>J9</f>
        <v/>
      </c>
      <c r="L6" s="20">
        <f>K9</f>
        <v/>
      </c>
      <c r="M6" s="20">
        <f>L9</f>
        <v/>
      </c>
      <c r="N6" s="20">
        <f>M9</f>
        <v/>
      </c>
      <c r="O6" s="20">
        <f>N9</f>
        <v/>
      </c>
      <c r="P6" s="20">
        <f>O9</f>
        <v/>
      </c>
      <c r="Q6" s="20">
        <f>P9</f>
        <v/>
      </c>
      <c r="R6" s="20">
        <f>Q9</f>
        <v/>
      </c>
      <c r="S6" s="20">
        <f>R9</f>
        <v/>
      </c>
      <c r="T6" s="20">
        <f>S9</f>
        <v/>
      </c>
      <c r="U6" s="20">
        <f>T9</f>
        <v/>
      </c>
      <c r="V6" s="20">
        <f>U9</f>
        <v/>
      </c>
      <c r="W6" s="20">
        <f>V9</f>
        <v/>
      </c>
      <c r="X6" s="20">
        <f>W9</f>
        <v/>
      </c>
      <c r="Y6" s="20">
        <f>X9</f>
        <v/>
      </c>
      <c r="Z6" s="20">
        <f>Y9</f>
        <v/>
      </c>
    </row>
    <row r="7">
      <c r="A7" s="5" t="inlineStr">
        <is>
          <t>New customers</t>
        </is>
      </c>
      <c r="B7" s="7" t="inlineStr">
        <is>
          <t>customers</t>
        </is>
      </c>
      <c r="C7" s="6">
        <f>Assumptions!$B$16*(1+Assumptions!$B$17)^(C4-1)</f>
        <v/>
      </c>
      <c r="D7" s="6">
        <f>Assumptions!$B$16*(1+Assumptions!$B$17)^(D4-1)</f>
        <v/>
      </c>
      <c r="E7" s="6">
        <f>Assumptions!$B$16*(1+Assumptions!$B$17)^(E4-1)</f>
        <v/>
      </c>
      <c r="F7" s="6">
        <f>Assumptions!$B$16*(1+Assumptions!$B$17)^(F4-1)</f>
        <v/>
      </c>
      <c r="G7" s="6">
        <f>Assumptions!$B$16*(1+Assumptions!$B$17)^(G4-1)</f>
        <v/>
      </c>
      <c r="H7" s="6">
        <f>Assumptions!$B$16*(1+Assumptions!$B$17)^(H4-1)</f>
        <v/>
      </c>
      <c r="I7" s="6">
        <f>Assumptions!$B$16*(1+Assumptions!$B$17)^(I4-1)</f>
        <v/>
      </c>
      <c r="J7" s="6">
        <f>Assumptions!$B$16*(1+Assumptions!$B$17)^(J4-1)</f>
        <v/>
      </c>
      <c r="K7" s="6">
        <f>Assumptions!$B$16*(1+Assumptions!$B$17)^(K4-1)</f>
        <v/>
      </c>
      <c r="L7" s="6">
        <f>Assumptions!$B$16*(1+Assumptions!$B$17)^(L4-1)</f>
        <v/>
      </c>
      <c r="M7" s="6">
        <f>Assumptions!$B$16*(1+Assumptions!$B$17)^(M4-1)</f>
        <v/>
      </c>
      <c r="N7" s="6">
        <f>Assumptions!$B$16*(1+Assumptions!$B$17)^(N4-1)</f>
        <v/>
      </c>
      <c r="O7" s="6">
        <f>Assumptions!$B$16*(1+Assumptions!$B$17)^(O4-1)</f>
        <v/>
      </c>
      <c r="P7" s="6">
        <f>Assumptions!$B$16*(1+Assumptions!$B$17)^(P4-1)</f>
        <v/>
      </c>
      <c r="Q7" s="6">
        <f>Assumptions!$B$16*(1+Assumptions!$B$17)^(Q4-1)</f>
        <v/>
      </c>
      <c r="R7" s="6">
        <f>Assumptions!$B$16*(1+Assumptions!$B$17)^(R4-1)</f>
        <v/>
      </c>
      <c r="S7" s="6">
        <f>Assumptions!$B$16*(1+Assumptions!$B$17)^(S4-1)</f>
        <v/>
      </c>
      <c r="T7" s="6">
        <f>Assumptions!$B$16*(1+Assumptions!$B$17)^(T4-1)</f>
        <v/>
      </c>
      <c r="U7" s="6">
        <f>Assumptions!$B$16*(1+Assumptions!$B$17)^(U4-1)</f>
        <v/>
      </c>
      <c r="V7" s="6">
        <f>Assumptions!$B$16*(1+Assumptions!$B$17)^(V4-1)</f>
        <v/>
      </c>
      <c r="W7" s="6">
        <f>Assumptions!$B$16*(1+Assumptions!$B$17)^(W4-1)</f>
        <v/>
      </c>
      <c r="X7" s="6">
        <f>Assumptions!$B$16*(1+Assumptions!$B$17)^(X4-1)</f>
        <v/>
      </c>
      <c r="Y7" s="6">
        <f>Assumptions!$B$16*(1+Assumptions!$B$17)^(Y4-1)</f>
        <v/>
      </c>
      <c r="Z7" s="6">
        <f>Assumptions!$B$16*(1+Assumptions!$B$17)^(Z4-1)</f>
        <v/>
      </c>
    </row>
    <row r="8">
      <c r="A8" s="5" t="inlineStr">
        <is>
          <t>Churned customers</t>
        </is>
      </c>
      <c r="B8" s="7" t="inlineStr">
        <is>
          <t>customers</t>
        </is>
      </c>
      <c r="C8" s="20">
        <f>C6*Assumptions!$B$18</f>
        <v/>
      </c>
      <c r="D8" s="20">
        <f>D6*Assumptions!$B$18</f>
        <v/>
      </c>
      <c r="E8" s="20">
        <f>E6*Assumptions!$B$18</f>
        <v/>
      </c>
      <c r="F8" s="20">
        <f>F6*Assumptions!$B$18</f>
        <v/>
      </c>
      <c r="G8" s="20">
        <f>G6*Assumptions!$B$18</f>
        <v/>
      </c>
      <c r="H8" s="20">
        <f>H6*Assumptions!$B$18</f>
        <v/>
      </c>
      <c r="I8" s="20">
        <f>I6*Assumptions!$B$18</f>
        <v/>
      </c>
      <c r="J8" s="20">
        <f>J6*Assumptions!$B$18</f>
        <v/>
      </c>
      <c r="K8" s="20">
        <f>K6*Assumptions!$B$18</f>
        <v/>
      </c>
      <c r="L8" s="20">
        <f>L6*Assumptions!$B$18</f>
        <v/>
      </c>
      <c r="M8" s="20">
        <f>M6*Assumptions!$B$18</f>
        <v/>
      </c>
      <c r="N8" s="20">
        <f>N6*Assumptions!$B$18</f>
        <v/>
      </c>
      <c r="O8" s="20">
        <f>O6*Assumptions!$B$18</f>
        <v/>
      </c>
      <c r="P8" s="20">
        <f>P6*Assumptions!$B$18</f>
        <v/>
      </c>
      <c r="Q8" s="20">
        <f>Q6*Assumptions!$B$18</f>
        <v/>
      </c>
      <c r="R8" s="20">
        <f>R6*Assumptions!$B$18</f>
        <v/>
      </c>
      <c r="S8" s="20">
        <f>S6*Assumptions!$B$18</f>
        <v/>
      </c>
      <c r="T8" s="20">
        <f>T6*Assumptions!$B$18</f>
        <v/>
      </c>
      <c r="U8" s="20">
        <f>U6*Assumptions!$B$18</f>
        <v/>
      </c>
      <c r="V8" s="20">
        <f>V6*Assumptions!$B$18</f>
        <v/>
      </c>
      <c r="W8" s="20">
        <f>W6*Assumptions!$B$18</f>
        <v/>
      </c>
      <c r="X8" s="20">
        <f>X6*Assumptions!$B$18</f>
        <v/>
      </c>
      <c r="Y8" s="20">
        <f>Y6*Assumptions!$B$18</f>
        <v/>
      </c>
      <c r="Z8" s="20">
        <f>Z6*Assumptions!$B$18</f>
        <v/>
      </c>
    </row>
    <row r="9">
      <c r="A9" s="26" t="inlineStr">
        <is>
          <t>Customers, end of month</t>
        </is>
      </c>
      <c r="B9" s="7" t="inlineStr">
        <is>
          <t>customers</t>
        </is>
      </c>
      <c r="C9" s="20">
        <f>C6+C7-C8</f>
        <v/>
      </c>
      <c r="D9" s="20">
        <f>D6+D7-D8</f>
        <v/>
      </c>
      <c r="E9" s="20">
        <f>E6+E7-E8</f>
        <v/>
      </c>
      <c r="F9" s="20">
        <f>F6+F7-F8</f>
        <v/>
      </c>
      <c r="G9" s="20">
        <f>G6+G7-G8</f>
        <v/>
      </c>
      <c r="H9" s="20">
        <f>H6+H7-H8</f>
        <v/>
      </c>
      <c r="I9" s="20">
        <f>I6+I7-I8</f>
        <v/>
      </c>
      <c r="J9" s="20">
        <f>J6+J7-J8</f>
        <v/>
      </c>
      <c r="K9" s="20">
        <f>K6+K7-K8</f>
        <v/>
      </c>
      <c r="L9" s="20">
        <f>L6+L7-L8</f>
        <v/>
      </c>
      <c r="M9" s="20">
        <f>M6+M7-M8</f>
        <v/>
      </c>
      <c r="N9" s="20">
        <f>N6+N7-N8</f>
        <v/>
      </c>
      <c r="O9" s="20">
        <f>O6+O7-O8</f>
        <v/>
      </c>
      <c r="P9" s="20">
        <f>P6+P7-P8</f>
        <v/>
      </c>
      <c r="Q9" s="20">
        <f>Q6+Q7-Q8</f>
        <v/>
      </c>
      <c r="R9" s="20">
        <f>R6+R7-R8</f>
        <v/>
      </c>
      <c r="S9" s="20">
        <f>S6+S7-S8</f>
        <v/>
      </c>
      <c r="T9" s="20">
        <f>T6+T7-T8</f>
        <v/>
      </c>
      <c r="U9" s="20">
        <f>U6+U7-U8</f>
        <v/>
      </c>
      <c r="V9" s="20">
        <f>V6+V7-V8</f>
        <v/>
      </c>
      <c r="W9" s="20">
        <f>W6+W7-W8</f>
        <v/>
      </c>
      <c r="X9" s="20">
        <f>X6+X7-X8</f>
        <v/>
      </c>
      <c r="Y9" s="20">
        <f>Y6+Y7-Y8</f>
        <v/>
      </c>
      <c r="Z9" s="20">
        <f>Z6+Z7-Z8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6" t="inlineStr">
        <is>
          <t>Revenue (MRR)</t>
        </is>
      </c>
      <c r="B11" s="7" t="inlineStr">
        <is>
          <t>$</t>
        </is>
      </c>
      <c r="C11" s="10">
        <f>C9*Assumptions!$B$6</f>
        <v/>
      </c>
      <c r="D11" s="10">
        <f>D9*Assumptions!$B$6</f>
        <v/>
      </c>
      <c r="E11" s="10">
        <f>E9*Assumptions!$B$6</f>
        <v/>
      </c>
      <c r="F11" s="10">
        <f>F9*Assumptions!$B$6</f>
        <v/>
      </c>
      <c r="G11" s="10">
        <f>G9*Assumptions!$B$6</f>
        <v/>
      </c>
      <c r="H11" s="10">
        <f>H9*Assumptions!$B$6</f>
        <v/>
      </c>
      <c r="I11" s="10">
        <f>I9*Assumptions!$B$6</f>
        <v/>
      </c>
      <c r="J11" s="10">
        <f>J9*Assumptions!$B$6</f>
        <v/>
      </c>
      <c r="K11" s="10">
        <f>K9*Assumptions!$B$6</f>
        <v/>
      </c>
      <c r="L11" s="10">
        <f>L9*Assumptions!$B$6</f>
        <v/>
      </c>
      <c r="M11" s="10">
        <f>M9*Assumptions!$B$6</f>
        <v/>
      </c>
      <c r="N11" s="10">
        <f>N9*Assumptions!$B$6</f>
        <v/>
      </c>
      <c r="O11" s="10">
        <f>O9*Assumptions!$B$6</f>
        <v/>
      </c>
      <c r="P11" s="10">
        <f>P9*Assumptions!$B$6</f>
        <v/>
      </c>
      <c r="Q11" s="10">
        <f>Q9*Assumptions!$B$6</f>
        <v/>
      </c>
      <c r="R11" s="10">
        <f>R9*Assumptions!$B$6</f>
        <v/>
      </c>
      <c r="S11" s="10">
        <f>S9*Assumptions!$B$6</f>
        <v/>
      </c>
      <c r="T11" s="10">
        <f>T9*Assumptions!$B$6</f>
        <v/>
      </c>
      <c r="U11" s="10">
        <f>U9*Assumptions!$B$6</f>
        <v/>
      </c>
      <c r="V11" s="10">
        <f>V9*Assumptions!$B$6</f>
        <v/>
      </c>
      <c r="W11" s="10">
        <f>W9*Assumptions!$B$6</f>
        <v/>
      </c>
      <c r="X11" s="10">
        <f>X9*Assumptions!$B$6</f>
        <v/>
      </c>
      <c r="Y11" s="10">
        <f>Y9*Assumptions!$B$6</f>
        <v/>
      </c>
      <c r="Z11" s="10">
        <f>Z9*Assumptions!$B$6</f>
        <v/>
      </c>
    </row>
    <row r="12">
      <c r="A12" s="5" t="inlineStr">
        <is>
          <t>Payment fees</t>
        </is>
      </c>
      <c r="B12" s="7" t="inlineStr">
        <is>
          <t>$</t>
        </is>
      </c>
      <c r="C12" s="10">
        <f>C9*(Assumptions!$B$6*Assumptions!$B$13+Assumptions!$B$14)</f>
        <v/>
      </c>
      <c r="D12" s="10">
        <f>D9*(Assumptions!$B$6*Assumptions!$B$13+Assumptions!$B$14)</f>
        <v/>
      </c>
      <c r="E12" s="10">
        <f>E9*(Assumptions!$B$6*Assumptions!$B$13+Assumptions!$B$14)</f>
        <v/>
      </c>
      <c r="F12" s="10">
        <f>F9*(Assumptions!$B$6*Assumptions!$B$13+Assumptions!$B$14)</f>
        <v/>
      </c>
      <c r="G12" s="10">
        <f>G9*(Assumptions!$B$6*Assumptions!$B$13+Assumptions!$B$14)</f>
        <v/>
      </c>
      <c r="H12" s="10">
        <f>H9*(Assumptions!$B$6*Assumptions!$B$13+Assumptions!$B$14)</f>
        <v/>
      </c>
      <c r="I12" s="10">
        <f>I9*(Assumptions!$B$6*Assumptions!$B$13+Assumptions!$B$14)</f>
        <v/>
      </c>
      <c r="J12" s="10">
        <f>J9*(Assumptions!$B$6*Assumptions!$B$13+Assumptions!$B$14)</f>
        <v/>
      </c>
      <c r="K12" s="10">
        <f>K9*(Assumptions!$B$6*Assumptions!$B$13+Assumptions!$B$14)</f>
        <v/>
      </c>
      <c r="L12" s="10">
        <f>L9*(Assumptions!$B$6*Assumptions!$B$13+Assumptions!$B$14)</f>
        <v/>
      </c>
      <c r="M12" s="10">
        <f>M9*(Assumptions!$B$6*Assumptions!$B$13+Assumptions!$B$14)</f>
        <v/>
      </c>
      <c r="N12" s="10">
        <f>N9*(Assumptions!$B$6*Assumptions!$B$13+Assumptions!$B$14)</f>
        <v/>
      </c>
      <c r="O12" s="10">
        <f>O9*(Assumptions!$B$6*Assumptions!$B$13+Assumptions!$B$14)</f>
        <v/>
      </c>
      <c r="P12" s="10">
        <f>P9*(Assumptions!$B$6*Assumptions!$B$13+Assumptions!$B$14)</f>
        <v/>
      </c>
      <c r="Q12" s="10">
        <f>Q9*(Assumptions!$B$6*Assumptions!$B$13+Assumptions!$B$14)</f>
        <v/>
      </c>
      <c r="R12" s="10">
        <f>R9*(Assumptions!$B$6*Assumptions!$B$13+Assumptions!$B$14)</f>
        <v/>
      </c>
      <c r="S12" s="10">
        <f>S9*(Assumptions!$B$6*Assumptions!$B$13+Assumptions!$B$14)</f>
        <v/>
      </c>
      <c r="T12" s="10">
        <f>T9*(Assumptions!$B$6*Assumptions!$B$13+Assumptions!$B$14)</f>
        <v/>
      </c>
      <c r="U12" s="10">
        <f>U9*(Assumptions!$B$6*Assumptions!$B$13+Assumptions!$B$14)</f>
        <v/>
      </c>
      <c r="V12" s="10">
        <f>V9*(Assumptions!$B$6*Assumptions!$B$13+Assumptions!$B$14)</f>
        <v/>
      </c>
      <c r="W12" s="10">
        <f>W9*(Assumptions!$B$6*Assumptions!$B$13+Assumptions!$B$14)</f>
        <v/>
      </c>
      <c r="X12" s="10">
        <f>X9*(Assumptions!$B$6*Assumptions!$B$13+Assumptions!$B$14)</f>
        <v/>
      </c>
      <c r="Y12" s="10">
        <f>Y9*(Assumptions!$B$6*Assumptions!$B$13+Assumptions!$B$14)</f>
        <v/>
      </c>
      <c r="Z12" s="10">
        <f>Z9*(Assumptions!$B$6*Assumptions!$B$13+Assumptions!$B$14)</f>
        <v/>
      </c>
    </row>
    <row r="13">
      <c r="A13" s="5" t="inlineStr">
        <is>
          <t>LLM inference</t>
        </is>
      </c>
      <c r="B13" s="7" t="inlineStr">
        <is>
          <t>$</t>
        </is>
      </c>
      <c r="C13" s="10">
        <f>C9*Assumptions!$B$10*Assumptions!$B$11</f>
        <v/>
      </c>
      <c r="D13" s="10">
        <f>D9*Assumptions!$B$10*Assumptions!$B$11</f>
        <v/>
      </c>
      <c r="E13" s="10">
        <f>E9*Assumptions!$B$10*Assumptions!$B$11</f>
        <v/>
      </c>
      <c r="F13" s="10">
        <f>F9*Assumptions!$B$10*Assumptions!$B$11</f>
        <v/>
      </c>
      <c r="G13" s="10">
        <f>G9*Assumptions!$B$10*Assumptions!$B$11</f>
        <v/>
      </c>
      <c r="H13" s="10">
        <f>H9*Assumptions!$B$10*Assumptions!$B$11</f>
        <v/>
      </c>
      <c r="I13" s="10">
        <f>I9*Assumptions!$B$10*Assumptions!$B$11</f>
        <v/>
      </c>
      <c r="J13" s="10">
        <f>J9*Assumptions!$B$10*Assumptions!$B$11</f>
        <v/>
      </c>
      <c r="K13" s="10">
        <f>K9*Assumptions!$B$10*Assumptions!$B$11</f>
        <v/>
      </c>
      <c r="L13" s="10">
        <f>L9*Assumptions!$B$10*Assumptions!$B$11</f>
        <v/>
      </c>
      <c r="M13" s="10">
        <f>M9*Assumptions!$B$10*Assumptions!$B$11</f>
        <v/>
      </c>
      <c r="N13" s="10">
        <f>N9*Assumptions!$B$10*Assumptions!$B$11</f>
        <v/>
      </c>
      <c r="O13" s="10">
        <f>O9*Assumptions!$B$10*Assumptions!$B$11</f>
        <v/>
      </c>
      <c r="P13" s="10">
        <f>P9*Assumptions!$B$10*Assumptions!$B$11</f>
        <v/>
      </c>
      <c r="Q13" s="10">
        <f>Q9*Assumptions!$B$10*Assumptions!$B$11</f>
        <v/>
      </c>
      <c r="R13" s="10">
        <f>R9*Assumptions!$B$10*Assumptions!$B$11</f>
        <v/>
      </c>
      <c r="S13" s="10">
        <f>S9*Assumptions!$B$10*Assumptions!$B$11</f>
        <v/>
      </c>
      <c r="T13" s="10">
        <f>T9*Assumptions!$B$10*Assumptions!$B$11</f>
        <v/>
      </c>
      <c r="U13" s="10">
        <f>U9*Assumptions!$B$10*Assumptions!$B$11</f>
        <v/>
      </c>
      <c r="V13" s="10">
        <f>V9*Assumptions!$B$10*Assumptions!$B$11</f>
        <v/>
      </c>
      <c r="W13" s="10">
        <f>W9*Assumptions!$B$10*Assumptions!$B$11</f>
        <v/>
      </c>
      <c r="X13" s="10">
        <f>X9*Assumptions!$B$10*Assumptions!$B$11</f>
        <v/>
      </c>
      <c r="Y13" s="10">
        <f>Y9*Assumptions!$B$10*Assumptions!$B$11</f>
        <v/>
      </c>
      <c r="Z13" s="10">
        <f>Z9*Assumptions!$B$10*Assumptions!$B$11</f>
        <v/>
      </c>
    </row>
    <row r="14">
      <c r="A14" s="5" t="inlineStr">
        <is>
          <t>Laya inference</t>
        </is>
      </c>
      <c r="B14" s="7" t="inlineStr">
        <is>
          <t>$</t>
        </is>
      </c>
      <c r="C14" s="10">
        <f>C9*Assumptions!$B$10*Assumptions!$B$12</f>
        <v/>
      </c>
      <c r="D14" s="10">
        <f>D9*Assumptions!$B$10*Assumptions!$B$12</f>
        <v/>
      </c>
      <c r="E14" s="10">
        <f>E9*Assumptions!$B$10*Assumptions!$B$12</f>
        <v/>
      </c>
      <c r="F14" s="10">
        <f>F9*Assumptions!$B$10*Assumptions!$B$12</f>
        <v/>
      </c>
      <c r="G14" s="10">
        <f>G9*Assumptions!$B$10*Assumptions!$B$12</f>
        <v/>
      </c>
      <c r="H14" s="10">
        <f>H9*Assumptions!$B$10*Assumptions!$B$12</f>
        <v/>
      </c>
      <c r="I14" s="10">
        <f>I9*Assumptions!$B$10*Assumptions!$B$12</f>
        <v/>
      </c>
      <c r="J14" s="10">
        <f>J9*Assumptions!$B$10*Assumptions!$B$12</f>
        <v/>
      </c>
      <c r="K14" s="10">
        <f>K9*Assumptions!$B$10*Assumptions!$B$12</f>
        <v/>
      </c>
      <c r="L14" s="10">
        <f>L9*Assumptions!$B$10*Assumptions!$B$12</f>
        <v/>
      </c>
      <c r="M14" s="10">
        <f>M9*Assumptions!$B$10*Assumptions!$B$12</f>
        <v/>
      </c>
      <c r="N14" s="10">
        <f>N9*Assumptions!$B$10*Assumptions!$B$12</f>
        <v/>
      </c>
      <c r="O14" s="10">
        <f>O9*Assumptions!$B$10*Assumptions!$B$12</f>
        <v/>
      </c>
      <c r="P14" s="10">
        <f>P9*Assumptions!$B$10*Assumptions!$B$12</f>
        <v/>
      </c>
      <c r="Q14" s="10">
        <f>Q9*Assumptions!$B$10*Assumptions!$B$12</f>
        <v/>
      </c>
      <c r="R14" s="10">
        <f>R9*Assumptions!$B$10*Assumptions!$B$12</f>
        <v/>
      </c>
      <c r="S14" s="10">
        <f>S9*Assumptions!$B$10*Assumptions!$B$12</f>
        <v/>
      </c>
      <c r="T14" s="10">
        <f>T9*Assumptions!$B$10*Assumptions!$B$12</f>
        <v/>
      </c>
      <c r="U14" s="10">
        <f>U9*Assumptions!$B$10*Assumptions!$B$12</f>
        <v/>
      </c>
      <c r="V14" s="10">
        <f>V9*Assumptions!$B$10*Assumptions!$B$12</f>
        <v/>
      </c>
      <c r="W14" s="10">
        <f>W9*Assumptions!$B$10*Assumptions!$B$12</f>
        <v/>
      </c>
      <c r="X14" s="10">
        <f>X9*Assumptions!$B$10*Assumptions!$B$12</f>
        <v/>
      </c>
      <c r="Y14" s="10">
        <f>Y9*Assumptions!$B$10*Assumptions!$B$12</f>
        <v/>
      </c>
      <c r="Z14" s="10">
        <f>Z9*Assumptions!$B$10*Assumptions!$B$12</f>
        <v/>
      </c>
    </row>
    <row r="15">
      <c r="A15" s="26" t="inlineStr">
        <is>
          <t>Gross profit</t>
        </is>
      </c>
      <c r="B15" s="7" t="inlineStr">
        <is>
          <t>$</t>
        </is>
      </c>
      <c r="C15" s="10">
        <f>C11-C12-C13-C14</f>
        <v/>
      </c>
      <c r="D15" s="10">
        <f>D11-D12-D13-D14</f>
        <v/>
      </c>
      <c r="E15" s="10">
        <f>E11-E12-E13-E14</f>
        <v/>
      </c>
      <c r="F15" s="10">
        <f>F11-F12-F13-F14</f>
        <v/>
      </c>
      <c r="G15" s="10">
        <f>G11-G12-G13-G14</f>
        <v/>
      </c>
      <c r="H15" s="10">
        <f>H11-H12-H13-H14</f>
        <v/>
      </c>
      <c r="I15" s="10">
        <f>I11-I12-I13-I14</f>
        <v/>
      </c>
      <c r="J15" s="10">
        <f>J11-J12-J13-J14</f>
        <v/>
      </c>
      <c r="K15" s="10">
        <f>K11-K12-K13-K14</f>
        <v/>
      </c>
      <c r="L15" s="10">
        <f>L11-L12-L13-L14</f>
        <v/>
      </c>
      <c r="M15" s="10">
        <f>M11-M12-M13-M14</f>
        <v/>
      </c>
      <c r="N15" s="10">
        <f>N11-N12-N13-N14</f>
        <v/>
      </c>
      <c r="O15" s="10">
        <f>O11-O12-O13-O14</f>
        <v/>
      </c>
      <c r="P15" s="10">
        <f>P11-P12-P13-P14</f>
        <v/>
      </c>
      <c r="Q15" s="10">
        <f>Q11-Q12-Q13-Q14</f>
        <v/>
      </c>
      <c r="R15" s="10">
        <f>R11-R12-R13-R14</f>
        <v/>
      </c>
      <c r="S15" s="10">
        <f>S11-S12-S13-S14</f>
        <v/>
      </c>
      <c r="T15" s="10">
        <f>T11-T12-T13-T14</f>
        <v/>
      </c>
      <c r="U15" s="10">
        <f>U11-U12-U13-U14</f>
        <v/>
      </c>
      <c r="V15" s="10">
        <f>V11-V12-V13-V14</f>
        <v/>
      </c>
      <c r="W15" s="10">
        <f>W11-W12-W13-W14</f>
        <v/>
      </c>
      <c r="X15" s="10">
        <f>X11-X12-X13-X14</f>
        <v/>
      </c>
      <c r="Y15" s="10">
        <f>Y11-Y12-Y13-Y14</f>
        <v/>
      </c>
      <c r="Z15" s="10">
        <f>Z11-Z12-Z13-Z14</f>
        <v/>
      </c>
    </row>
    <row r="16">
      <c r="A16" s="5" t="inlineStr">
        <is>
          <t>Gross margin</t>
        </is>
      </c>
      <c r="B16" s="7" t="inlineStr">
        <is>
          <t>%</t>
        </is>
      </c>
      <c r="C16" s="29">
        <f>IF(C11=0,0,C15/C11)</f>
        <v/>
      </c>
      <c r="D16" s="29">
        <f>IF(D11=0,0,D15/D11)</f>
        <v/>
      </c>
      <c r="E16" s="29">
        <f>IF(E11=0,0,E15/E11)</f>
        <v/>
      </c>
      <c r="F16" s="29">
        <f>IF(F11=0,0,F15/F11)</f>
        <v/>
      </c>
      <c r="G16" s="29">
        <f>IF(G11=0,0,G15/G11)</f>
        <v/>
      </c>
      <c r="H16" s="29">
        <f>IF(H11=0,0,H15/H11)</f>
        <v/>
      </c>
      <c r="I16" s="29">
        <f>IF(I11=0,0,I15/I11)</f>
        <v/>
      </c>
      <c r="J16" s="29">
        <f>IF(J11=0,0,J15/J11)</f>
        <v/>
      </c>
      <c r="K16" s="29">
        <f>IF(K11=0,0,K15/K11)</f>
        <v/>
      </c>
      <c r="L16" s="29">
        <f>IF(L11=0,0,L15/L11)</f>
        <v/>
      </c>
      <c r="M16" s="29">
        <f>IF(M11=0,0,M15/M11)</f>
        <v/>
      </c>
      <c r="N16" s="29">
        <f>IF(N11=0,0,N15/N11)</f>
        <v/>
      </c>
      <c r="O16" s="29">
        <f>IF(O11=0,0,O15/O11)</f>
        <v/>
      </c>
      <c r="P16" s="29">
        <f>IF(P11=0,0,P15/P11)</f>
        <v/>
      </c>
      <c r="Q16" s="29">
        <f>IF(Q11=0,0,Q15/Q11)</f>
        <v/>
      </c>
      <c r="R16" s="29">
        <f>IF(R11=0,0,R15/R11)</f>
        <v/>
      </c>
      <c r="S16" s="29">
        <f>IF(S11=0,0,S15/S11)</f>
        <v/>
      </c>
      <c r="T16" s="29">
        <f>IF(T11=0,0,T15/T11)</f>
        <v/>
      </c>
      <c r="U16" s="29">
        <f>IF(U11=0,0,U15/U11)</f>
        <v/>
      </c>
      <c r="V16" s="29">
        <f>IF(V11=0,0,V15/V11)</f>
        <v/>
      </c>
      <c r="W16" s="29">
        <f>IF(W11=0,0,W15/W11)</f>
        <v/>
      </c>
      <c r="X16" s="29">
        <f>IF(X11=0,0,X15/X11)</f>
        <v/>
      </c>
      <c r="Y16" s="29">
        <f>IF(Y11=0,0,Y15/Y11)</f>
        <v/>
      </c>
      <c r="Z16" s="29">
        <f>IF(Z11=0,0,Z15/Z11)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" t="inlineStr">
        <is>
          <t>Marketing (new customers x CAC)</t>
        </is>
      </c>
      <c r="B18" s="7" t="inlineStr">
        <is>
          <t>$</t>
        </is>
      </c>
      <c r="C18" s="10">
        <f>C7*Assumptions!$B$19</f>
        <v/>
      </c>
      <c r="D18" s="10">
        <f>D7*Assumptions!$B$19</f>
        <v/>
      </c>
      <c r="E18" s="10">
        <f>E7*Assumptions!$B$19</f>
        <v/>
      </c>
      <c r="F18" s="10">
        <f>F7*Assumptions!$B$19</f>
        <v/>
      </c>
      <c r="G18" s="10">
        <f>G7*Assumptions!$B$19</f>
        <v/>
      </c>
      <c r="H18" s="10">
        <f>H7*Assumptions!$B$19</f>
        <v/>
      </c>
      <c r="I18" s="10">
        <f>I7*Assumptions!$B$19</f>
        <v/>
      </c>
      <c r="J18" s="10">
        <f>J7*Assumptions!$B$19</f>
        <v/>
      </c>
      <c r="K18" s="10">
        <f>K7*Assumptions!$B$19</f>
        <v/>
      </c>
      <c r="L18" s="10">
        <f>L7*Assumptions!$B$19</f>
        <v/>
      </c>
      <c r="M18" s="10">
        <f>M7*Assumptions!$B$19</f>
        <v/>
      </c>
      <c r="N18" s="10">
        <f>N7*Assumptions!$B$19</f>
        <v/>
      </c>
      <c r="O18" s="10">
        <f>O7*Assumptions!$B$19</f>
        <v/>
      </c>
      <c r="P18" s="10">
        <f>P7*Assumptions!$B$19</f>
        <v/>
      </c>
      <c r="Q18" s="10">
        <f>Q7*Assumptions!$B$19</f>
        <v/>
      </c>
      <c r="R18" s="10">
        <f>R7*Assumptions!$B$19</f>
        <v/>
      </c>
      <c r="S18" s="10">
        <f>S7*Assumptions!$B$19</f>
        <v/>
      </c>
      <c r="T18" s="10">
        <f>T7*Assumptions!$B$19</f>
        <v/>
      </c>
      <c r="U18" s="10">
        <f>U7*Assumptions!$B$19</f>
        <v/>
      </c>
      <c r="V18" s="10">
        <f>V7*Assumptions!$B$19</f>
        <v/>
      </c>
      <c r="W18" s="10">
        <f>W7*Assumptions!$B$19</f>
        <v/>
      </c>
      <c r="X18" s="10">
        <f>X7*Assumptions!$B$19</f>
        <v/>
      </c>
      <c r="Y18" s="10">
        <f>Y7*Assumptions!$B$19</f>
        <v/>
      </c>
      <c r="Z18" s="10">
        <f>Z7*Assumptions!$B$19</f>
        <v/>
      </c>
    </row>
    <row r="19">
      <c r="A19" s="5" t="inlineStr">
        <is>
          <t>Hosting and tools</t>
        </is>
      </c>
      <c r="B19" s="7" t="inlineStr">
        <is>
          <t>$</t>
        </is>
      </c>
      <c r="C19" s="8">
        <f>Assumptions!$B$20</f>
        <v/>
      </c>
      <c r="D19" s="8">
        <f>Assumptions!$B$20</f>
        <v/>
      </c>
      <c r="E19" s="8">
        <f>Assumptions!$B$20</f>
        <v/>
      </c>
      <c r="F19" s="8">
        <f>Assumptions!$B$20</f>
        <v/>
      </c>
      <c r="G19" s="8">
        <f>Assumptions!$B$20</f>
        <v/>
      </c>
      <c r="H19" s="8">
        <f>Assumptions!$B$20</f>
        <v/>
      </c>
      <c r="I19" s="8">
        <f>Assumptions!$B$20</f>
        <v/>
      </c>
      <c r="J19" s="8">
        <f>Assumptions!$B$20</f>
        <v/>
      </c>
      <c r="K19" s="8">
        <f>Assumptions!$B$20</f>
        <v/>
      </c>
      <c r="L19" s="8">
        <f>Assumptions!$B$20</f>
        <v/>
      </c>
      <c r="M19" s="8">
        <f>Assumptions!$B$20</f>
        <v/>
      </c>
      <c r="N19" s="8">
        <f>Assumptions!$B$20</f>
        <v/>
      </c>
      <c r="O19" s="8">
        <f>Assumptions!$B$20</f>
        <v/>
      </c>
      <c r="P19" s="8">
        <f>Assumptions!$B$20</f>
        <v/>
      </c>
      <c r="Q19" s="8">
        <f>Assumptions!$B$20</f>
        <v/>
      </c>
      <c r="R19" s="8">
        <f>Assumptions!$B$20</f>
        <v/>
      </c>
      <c r="S19" s="8">
        <f>Assumptions!$B$20</f>
        <v/>
      </c>
      <c r="T19" s="8">
        <f>Assumptions!$B$20</f>
        <v/>
      </c>
      <c r="U19" s="8">
        <f>Assumptions!$B$20</f>
        <v/>
      </c>
      <c r="V19" s="8">
        <f>Assumptions!$B$20</f>
        <v/>
      </c>
      <c r="W19" s="8">
        <f>Assumptions!$B$20</f>
        <v/>
      </c>
      <c r="X19" s="8">
        <f>Assumptions!$B$20</f>
        <v/>
      </c>
      <c r="Y19" s="8">
        <f>Assumptions!$B$20</f>
        <v/>
      </c>
      <c r="Z19" s="8">
        <f>Assumptions!$B$20</f>
        <v/>
      </c>
    </row>
    <row r="20">
      <c r="A20" s="5" t="inlineStr">
        <is>
          <t>neatlogs</t>
        </is>
      </c>
      <c r="B20" s="7" t="inlineStr">
        <is>
          <t>$</t>
        </is>
      </c>
      <c r="C20" s="8">
        <f>Assumptions!$B$21</f>
        <v/>
      </c>
      <c r="D20" s="8">
        <f>Assumptions!$B$21</f>
        <v/>
      </c>
      <c r="E20" s="8">
        <f>Assumptions!$B$21</f>
        <v/>
      </c>
      <c r="F20" s="8">
        <f>Assumptions!$B$21</f>
        <v/>
      </c>
      <c r="G20" s="8">
        <f>Assumptions!$B$21</f>
        <v/>
      </c>
      <c r="H20" s="8">
        <f>Assumptions!$B$21</f>
        <v/>
      </c>
      <c r="I20" s="8">
        <f>Assumptions!$B$21</f>
        <v/>
      </c>
      <c r="J20" s="8">
        <f>Assumptions!$B$21</f>
        <v/>
      </c>
      <c r="K20" s="8">
        <f>Assumptions!$B$21</f>
        <v/>
      </c>
      <c r="L20" s="8">
        <f>Assumptions!$B$21</f>
        <v/>
      </c>
      <c r="M20" s="8">
        <f>Assumptions!$B$21</f>
        <v/>
      </c>
      <c r="N20" s="8">
        <f>Assumptions!$B$21</f>
        <v/>
      </c>
      <c r="O20" s="8">
        <f>Assumptions!$B$21</f>
        <v/>
      </c>
      <c r="P20" s="8">
        <f>Assumptions!$B$21</f>
        <v/>
      </c>
      <c r="Q20" s="8">
        <f>Assumptions!$B$21</f>
        <v/>
      </c>
      <c r="R20" s="8">
        <f>Assumptions!$B$21</f>
        <v/>
      </c>
      <c r="S20" s="8">
        <f>Assumptions!$B$21</f>
        <v/>
      </c>
      <c r="T20" s="8">
        <f>Assumptions!$B$21</f>
        <v/>
      </c>
      <c r="U20" s="8">
        <f>Assumptions!$B$21</f>
        <v/>
      </c>
      <c r="V20" s="8">
        <f>Assumptions!$B$21</f>
        <v/>
      </c>
      <c r="W20" s="8">
        <f>Assumptions!$B$21</f>
        <v/>
      </c>
      <c r="X20" s="8">
        <f>Assumptions!$B$21</f>
        <v/>
      </c>
      <c r="Y20" s="8">
        <f>Assumptions!$B$21</f>
        <v/>
      </c>
      <c r="Z20" s="8">
        <f>Assumptions!$B$21</f>
        <v/>
      </c>
    </row>
    <row r="21">
      <c r="A21" s="5" t="inlineStr">
        <is>
          <t>Team</t>
        </is>
      </c>
      <c r="B21" s="7" t="inlineStr">
        <is>
          <t>$</t>
        </is>
      </c>
      <c r="C21" s="8">
        <f>Assumptions!$B$22</f>
        <v/>
      </c>
      <c r="D21" s="8">
        <f>Assumptions!$B$22</f>
        <v/>
      </c>
      <c r="E21" s="8">
        <f>Assumptions!$B$22</f>
        <v/>
      </c>
      <c r="F21" s="8">
        <f>Assumptions!$B$22</f>
        <v/>
      </c>
      <c r="G21" s="8">
        <f>Assumptions!$B$22</f>
        <v/>
      </c>
      <c r="H21" s="8">
        <f>Assumptions!$B$22</f>
        <v/>
      </c>
      <c r="I21" s="8">
        <f>Assumptions!$B$22</f>
        <v/>
      </c>
      <c r="J21" s="8">
        <f>Assumptions!$B$22</f>
        <v/>
      </c>
      <c r="K21" s="8">
        <f>Assumptions!$B$22</f>
        <v/>
      </c>
      <c r="L21" s="8">
        <f>Assumptions!$B$22</f>
        <v/>
      </c>
      <c r="M21" s="8">
        <f>Assumptions!$B$22</f>
        <v/>
      </c>
      <c r="N21" s="8">
        <f>Assumptions!$B$22</f>
        <v/>
      </c>
      <c r="O21" s="8">
        <f>Assumptions!$B$22</f>
        <v/>
      </c>
      <c r="P21" s="8">
        <f>Assumptions!$B$22</f>
        <v/>
      </c>
      <c r="Q21" s="8">
        <f>Assumptions!$B$22</f>
        <v/>
      </c>
      <c r="R21" s="8">
        <f>Assumptions!$B$22</f>
        <v/>
      </c>
      <c r="S21" s="8">
        <f>Assumptions!$B$22</f>
        <v/>
      </c>
      <c r="T21" s="8">
        <f>Assumptions!$B$22</f>
        <v/>
      </c>
      <c r="U21" s="8">
        <f>Assumptions!$B$22</f>
        <v/>
      </c>
      <c r="V21" s="8">
        <f>Assumptions!$B$22</f>
        <v/>
      </c>
      <c r="W21" s="8">
        <f>Assumptions!$B$22</f>
        <v/>
      </c>
      <c r="X21" s="8">
        <f>Assumptions!$B$22</f>
        <v/>
      </c>
      <c r="Y21" s="8">
        <f>Assumptions!$B$22</f>
        <v/>
      </c>
      <c r="Z21" s="8">
        <f>Assumptions!$B$22</f>
        <v/>
      </c>
    </row>
    <row r="22">
      <c r="A22" s="26" t="inlineStr">
        <is>
          <t>Operating profit</t>
        </is>
      </c>
      <c r="B22" s="7" t="inlineStr">
        <is>
          <t>$</t>
        </is>
      </c>
      <c r="C22" s="10">
        <f>C15-C18-C19-C20-C21</f>
        <v/>
      </c>
      <c r="D22" s="10">
        <f>D15-D18-D19-D20-D21</f>
        <v/>
      </c>
      <c r="E22" s="10">
        <f>E15-E18-E19-E20-E21</f>
        <v/>
      </c>
      <c r="F22" s="10">
        <f>F15-F18-F19-F20-F21</f>
        <v/>
      </c>
      <c r="G22" s="10">
        <f>G15-G18-G19-G20-G21</f>
        <v/>
      </c>
      <c r="H22" s="10">
        <f>H15-H18-H19-H20-H21</f>
        <v/>
      </c>
      <c r="I22" s="10">
        <f>I15-I18-I19-I20-I21</f>
        <v/>
      </c>
      <c r="J22" s="10">
        <f>J15-J18-J19-J20-J21</f>
        <v/>
      </c>
      <c r="K22" s="10">
        <f>K15-K18-K19-K20-K21</f>
        <v/>
      </c>
      <c r="L22" s="10">
        <f>L15-L18-L19-L20-L21</f>
        <v/>
      </c>
      <c r="M22" s="10">
        <f>M15-M18-M19-M20-M21</f>
        <v/>
      </c>
      <c r="N22" s="10">
        <f>N15-N18-N19-N20-N21</f>
        <v/>
      </c>
      <c r="O22" s="10">
        <f>O15-O18-O19-O20-O21</f>
        <v/>
      </c>
      <c r="P22" s="10">
        <f>P15-P18-P19-P20-P21</f>
        <v/>
      </c>
      <c r="Q22" s="10">
        <f>Q15-Q18-Q19-Q20-Q21</f>
        <v/>
      </c>
      <c r="R22" s="10">
        <f>R15-R18-R19-R20-R21</f>
        <v/>
      </c>
      <c r="S22" s="10">
        <f>S15-S18-S19-S20-S21</f>
        <v/>
      </c>
      <c r="T22" s="10">
        <f>T15-T18-T19-T20-T21</f>
        <v/>
      </c>
      <c r="U22" s="10">
        <f>U15-U18-U19-U20-U21</f>
        <v/>
      </c>
      <c r="V22" s="10">
        <f>V15-V18-V19-V20-V21</f>
        <v/>
      </c>
      <c r="W22" s="10">
        <f>W15-W18-W19-W20-W21</f>
        <v/>
      </c>
      <c r="X22" s="10">
        <f>X15-X18-X19-X20-X21</f>
        <v/>
      </c>
      <c r="Y22" s="10">
        <f>Y15-Y18-Y19-Y20-Y21</f>
        <v/>
      </c>
      <c r="Z22" s="10">
        <f>Z15-Z18-Z19-Z20-Z21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" t="inlineStr">
        <is>
          <t>Cash, start of month</t>
        </is>
      </c>
      <c r="B24" s="7" t="inlineStr">
        <is>
          <t>$</t>
        </is>
      </c>
      <c r="C24" s="8">
        <f>Assumptions!$B$23</f>
        <v/>
      </c>
      <c r="D24" s="10">
        <f>C25</f>
        <v/>
      </c>
      <c r="E24" s="10">
        <f>D25</f>
        <v/>
      </c>
      <c r="F24" s="10">
        <f>E25</f>
        <v/>
      </c>
      <c r="G24" s="10">
        <f>F25</f>
        <v/>
      </c>
      <c r="H24" s="10">
        <f>G25</f>
        <v/>
      </c>
      <c r="I24" s="10">
        <f>H25</f>
        <v/>
      </c>
      <c r="J24" s="10">
        <f>I25</f>
        <v/>
      </c>
      <c r="K24" s="10">
        <f>J25</f>
        <v/>
      </c>
      <c r="L24" s="10">
        <f>K25</f>
        <v/>
      </c>
      <c r="M24" s="10">
        <f>L25</f>
        <v/>
      </c>
      <c r="N24" s="10">
        <f>M25</f>
        <v/>
      </c>
      <c r="O24" s="10">
        <f>N25</f>
        <v/>
      </c>
      <c r="P24" s="10">
        <f>O25</f>
        <v/>
      </c>
      <c r="Q24" s="10">
        <f>P25</f>
        <v/>
      </c>
      <c r="R24" s="10">
        <f>Q25</f>
        <v/>
      </c>
      <c r="S24" s="10">
        <f>R25</f>
        <v/>
      </c>
      <c r="T24" s="10">
        <f>S25</f>
        <v/>
      </c>
      <c r="U24" s="10">
        <f>T25</f>
        <v/>
      </c>
      <c r="V24" s="10">
        <f>U25</f>
        <v/>
      </c>
      <c r="W24" s="10">
        <f>V25</f>
        <v/>
      </c>
      <c r="X24" s="10">
        <f>W25</f>
        <v/>
      </c>
      <c r="Y24" s="10">
        <f>X25</f>
        <v/>
      </c>
      <c r="Z24" s="10">
        <f>Y25</f>
        <v/>
      </c>
    </row>
    <row r="25">
      <c r="A25" s="26" t="inlineStr">
        <is>
          <t>Cash, end of month</t>
        </is>
      </c>
      <c r="B25" s="7" t="inlineStr">
        <is>
          <t>$</t>
        </is>
      </c>
      <c r="C25" s="10">
        <f>C24+C22</f>
        <v/>
      </c>
      <c r="D25" s="10">
        <f>D24+D22</f>
        <v/>
      </c>
      <c r="E25" s="10">
        <f>E24+E22</f>
        <v/>
      </c>
      <c r="F25" s="10">
        <f>F24+F22</f>
        <v/>
      </c>
      <c r="G25" s="10">
        <f>G24+G22</f>
        <v/>
      </c>
      <c r="H25" s="10">
        <f>H24+H22</f>
        <v/>
      </c>
      <c r="I25" s="10">
        <f>I24+I22</f>
        <v/>
      </c>
      <c r="J25" s="10">
        <f>J24+J22</f>
        <v/>
      </c>
      <c r="K25" s="10">
        <f>K24+K22</f>
        <v/>
      </c>
      <c r="L25" s="10">
        <f>L24+L22</f>
        <v/>
      </c>
      <c r="M25" s="10">
        <f>M24+M22</f>
        <v/>
      </c>
      <c r="N25" s="10">
        <f>N24+N22</f>
        <v/>
      </c>
      <c r="O25" s="10">
        <f>O24+O22</f>
        <v/>
      </c>
      <c r="P25" s="10">
        <f>P24+P22</f>
        <v/>
      </c>
      <c r="Q25" s="10">
        <f>Q24+Q22</f>
        <v/>
      </c>
      <c r="R25" s="10">
        <f>R24+R22</f>
        <v/>
      </c>
      <c r="S25" s="10">
        <f>S24+S22</f>
        <v/>
      </c>
      <c r="T25" s="10">
        <f>T24+T22</f>
        <v/>
      </c>
      <c r="U25" s="10">
        <f>U24+U22</f>
        <v/>
      </c>
      <c r="V25" s="10">
        <f>V24+V22</f>
        <v/>
      </c>
      <c r="W25" s="10">
        <f>W24+W22</f>
        <v/>
      </c>
      <c r="X25" s="10">
        <f>X24+X22</f>
        <v/>
      </c>
      <c r="Y25" s="10">
        <f>Y24+Y22</f>
        <v/>
      </c>
      <c r="Z25" s="10">
        <f>Z24+Z22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" t="inlineStr">
        <is>
          <t>Flag: cash below zero (1 = yes)</t>
        </is>
      </c>
      <c r="B27" s="7" t="inlineStr">
        <is>
          <t>flag</t>
        </is>
      </c>
      <c r="C27" s="11">
        <f>IF(C25&lt;0,1,0)</f>
        <v/>
      </c>
      <c r="D27" s="11">
        <f>IF(D25&lt;0,1,0)</f>
        <v/>
      </c>
      <c r="E27" s="11">
        <f>IF(E25&lt;0,1,0)</f>
        <v/>
      </c>
      <c r="F27" s="11">
        <f>IF(F25&lt;0,1,0)</f>
        <v/>
      </c>
      <c r="G27" s="11">
        <f>IF(G25&lt;0,1,0)</f>
        <v/>
      </c>
      <c r="H27" s="11">
        <f>IF(H25&lt;0,1,0)</f>
        <v/>
      </c>
      <c r="I27" s="11">
        <f>IF(I25&lt;0,1,0)</f>
        <v/>
      </c>
      <c r="J27" s="11">
        <f>IF(J25&lt;0,1,0)</f>
        <v/>
      </c>
      <c r="K27" s="11">
        <f>IF(K25&lt;0,1,0)</f>
        <v/>
      </c>
      <c r="L27" s="11">
        <f>IF(L25&lt;0,1,0)</f>
        <v/>
      </c>
      <c r="M27" s="11">
        <f>IF(M25&lt;0,1,0)</f>
        <v/>
      </c>
      <c r="N27" s="11">
        <f>IF(N25&lt;0,1,0)</f>
        <v/>
      </c>
      <c r="O27" s="11">
        <f>IF(O25&lt;0,1,0)</f>
        <v/>
      </c>
      <c r="P27" s="11">
        <f>IF(P25&lt;0,1,0)</f>
        <v/>
      </c>
      <c r="Q27" s="11">
        <f>IF(Q25&lt;0,1,0)</f>
        <v/>
      </c>
      <c r="R27" s="11">
        <f>IF(R25&lt;0,1,0)</f>
        <v/>
      </c>
      <c r="S27" s="11">
        <f>IF(S25&lt;0,1,0)</f>
        <v/>
      </c>
      <c r="T27" s="11">
        <f>IF(T25&lt;0,1,0)</f>
        <v/>
      </c>
      <c r="U27" s="11">
        <f>IF(U25&lt;0,1,0)</f>
        <v/>
      </c>
      <c r="V27" s="11">
        <f>IF(V25&lt;0,1,0)</f>
        <v/>
      </c>
      <c r="W27" s="11">
        <f>IF(W25&lt;0,1,0)</f>
        <v/>
      </c>
      <c r="X27" s="11">
        <f>IF(X25&lt;0,1,0)</f>
        <v/>
      </c>
      <c r="Y27" s="11">
        <f>IF(Y25&lt;0,1,0)</f>
        <v/>
      </c>
      <c r="Z27" s="11">
        <f>IF(Z25&lt;0,1,0)</f>
        <v/>
      </c>
    </row>
    <row r="28">
      <c r="A28" s="5" t="inlineStr">
        <is>
          <t>Flag: operating profit at or above zero (1 = yes)</t>
        </is>
      </c>
      <c r="B28" s="7" t="inlineStr">
        <is>
          <t>flag</t>
        </is>
      </c>
      <c r="C28" s="11">
        <f>IF(C22&gt;=0,1,0)</f>
        <v/>
      </c>
      <c r="D28" s="11">
        <f>IF(D22&gt;=0,1,0)</f>
        <v/>
      </c>
      <c r="E28" s="11">
        <f>IF(E22&gt;=0,1,0)</f>
        <v/>
      </c>
      <c r="F28" s="11">
        <f>IF(F22&gt;=0,1,0)</f>
        <v/>
      </c>
      <c r="G28" s="11">
        <f>IF(G22&gt;=0,1,0)</f>
        <v/>
      </c>
      <c r="H28" s="11">
        <f>IF(H22&gt;=0,1,0)</f>
        <v/>
      </c>
      <c r="I28" s="11">
        <f>IF(I22&gt;=0,1,0)</f>
        <v/>
      </c>
      <c r="J28" s="11">
        <f>IF(J22&gt;=0,1,0)</f>
        <v/>
      </c>
      <c r="K28" s="11">
        <f>IF(K22&gt;=0,1,0)</f>
        <v/>
      </c>
      <c r="L28" s="11">
        <f>IF(L22&gt;=0,1,0)</f>
        <v/>
      </c>
      <c r="M28" s="11">
        <f>IF(M22&gt;=0,1,0)</f>
        <v/>
      </c>
      <c r="N28" s="11">
        <f>IF(N22&gt;=0,1,0)</f>
        <v/>
      </c>
      <c r="O28" s="11">
        <f>IF(O22&gt;=0,1,0)</f>
        <v/>
      </c>
      <c r="P28" s="11">
        <f>IF(P22&gt;=0,1,0)</f>
        <v/>
      </c>
      <c r="Q28" s="11">
        <f>IF(Q22&gt;=0,1,0)</f>
        <v/>
      </c>
      <c r="R28" s="11">
        <f>IF(R22&gt;=0,1,0)</f>
        <v/>
      </c>
      <c r="S28" s="11">
        <f>IF(S22&gt;=0,1,0)</f>
        <v/>
      </c>
      <c r="T28" s="11">
        <f>IF(T22&gt;=0,1,0)</f>
        <v/>
      </c>
      <c r="U28" s="11">
        <f>IF(U22&gt;=0,1,0)</f>
        <v/>
      </c>
      <c r="V28" s="11">
        <f>IF(V22&gt;=0,1,0)</f>
        <v/>
      </c>
      <c r="W28" s="11">
        <f>IF(W22&gt;=0,1,0)</f>
        <v/>
      </c>
      <c r="X28" s="11">
        <f>IF(X22&gt;=0,1,0)</f>
        <v/>
      </c>
      <c r="Y28" s="11">
        <f>IF(Y22&gt;=0,1,0)</f>
        <v/>
      </c>
      <c r="Z28" s="11">
        <f>IF(Z22&gt;=0,1,0)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A1" s="1" t="inlineStr">
        <is>
          <t>Growth scenario: monthly model (months 1-24)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inlineStr">
        <is>
          <t>All values in $ unless the unit column says otherwise. Inputs live on the Assumptions sheet, column C.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6" t="inlineStr">
        <is>
          <t>Line</t>
        </is>
      </c>
      <c r="B3" s="26" t="inlineStr">
        <is>
          <t>Unit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" t="inlineStr">
        <is>
          <t>Month</t>
        </is>
      </c>
      <c r="B4" s="7" t="inlineStr"/>
      <c r="C4" s="27" t="n">
        <v>1</v>
      </c>
      <c r="D4" s="28">
        <f>C4+1</f>
        <v/>
      </c>
      <c r="E4" s="28">
        <f>D4+1</f>
        <v/>
      </c>
      <c r="F4" s="28">
        <f>E4+1</f>
        <v/>
      </c>
      <c r="G4" s="28">
        <f>F4+1</f>
        <v/>
      </c>
      <c r="H4" s="28">
        <f>G4+1</f>
        <v/>
      </c>
      <c r="I4" s="28">
        <f>H4+1</f>
        <v/>
      </c>
      <c r="J4" s="28">
        <f>I4+1</f>
        <v/>
      </c>
      <c r="K4" s="28">
        <f>J4+1</f>
        <v/>
      </c>
      <c r="L4" s="28">
        <f>K4+1</f>
        <v/>
      </c>
      <c r="M4" s="28">
        <f>L4+1</f>
        <v/>
      </c>
      <c r="N4" s="28">
        <f>M4+1</f>
        <v/>
      </c>
      <c r="O4" s="28">
        <f>N4+1</f>
        <v/>
      </c>
      <c r="P4" s="28">
        <f>O4+1</f>
        <v/>
      </c>
      <c r="Q4" s="28">
        <f>P4+1</f>
        <v/>
      </c>
      <c r="R4" s="28">
        <f>Q4+1</f>
        <v/>
      </c>
      <c r="S4" s="28">
        <f>R4+1</f>
        <v/>
      </c>
      <c r="T4" s="28">
        <f>S4+1</f>
        <v/>
      </c>
      <c r="U4" s="28">
        <f>T4+1</f>
        <v/>
      </c>
      <c r="V4" s="28">
        <f>U4+1</f>
        <v/>
      </c>
      <c r="W4" s="28">
        <f>V4+1</f>
        <v/>
      </c>
      <c r="X4" s="28">
        <f>W4+1</f>
        <v/>
      </c>
      <c r="Y4" s="28">
        <f>X4+1</f>
        <v/>
      </c>
      <c r="Z4" s="28">
        <f>Y4+1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" t="inlineStr">
        <is>
          <t>Customers, start of month</t>
        </is>
      </c>
      <c r="B6" s="7" t="inlineStr">
        <is>
          <t>customers</t>
        </is>
      </c>
      <c r="C6" s="6">
        <f>Assumptions!$C$15</f>
        <v/>
      </c>
      <c r="D6" s="20">
        <f>C9</f>
        <v/>
      </c>
      <c r="E6" s="20">
        <f>D9</f>
        <v/>
      </c>
      <c r="F6" s="20">
        <f>E9</f>
        <v/>
      </c>
      <c r="G6" s="20">
        <f>F9</f>
        <v/>
      </c>
      <c r="H6" s="20">
        <f>G9</f>
        <v/>
      </c>
      <c r="I6" s="20">
        <f>H9</f>
        <v/>
      </c>
      <c r="J6" s="20">
        <f>I9</f>
        <v/>
      </c>
      <c r="K6" s="20">
        <f>J9</f>
        <v/>
      </c>
      <c r="L6" s="20">
        <f>K9</f>
        <v/>
      </c>
      <c r="M6" s="20">
        <f>L9</f>
        <v/>
      </c>
      <c r="N6" s="20">
        <f>M9</f>
        <v/>
      </c>
      <c r="O6" s="20">
        <f>N9</f>
        <v/>
      </c>
      <c r="P6" s="20">
        <f>O9</f>
        <v/>
      </c>
      <c r="Q6" s="20">
        <f>P9</f>
        <v/>
      </c>
      <c r="R6" s="20">
        <f>Q9</f>
        <v/>
      </c>
      <c r="S6" s="20">
        <f>R9</f>
        <v/>
      </c>
      <c r="T6" s="20">
        <f>S9</f>
        <v/>
      </c>
      <c r="U6" s="20">
        <f>T9</f>
        <v/>
      </c>
      <c r="V6" s="20">
        <f>U9</f>
        <v/>
      </c>
      <c r="W6" s="20">
        <f>V9</f>
        <v/>
      </c>
      <c r="X6" s="20">
        <f>W9</f>
        <v/>
      </c>
      <c r="Y6" s="20">
        <f>X9</f>
        <v/>
      </c>
      <c r="Z6" s="20">
        <f>Y9</f>
        <v/>
      </c>
    </row>
    <row r="7">
      <c r="A7" s="5" t="inlineStr">
        <is>
          <t>New customers</t>
        </is>
      </c>
      <c r="B7" s="7" t="inlineStr">
        <is>
          <t>customers</t>
        </is>
      </c>
      <c r="C7" s="6">
        <f>Assumptions!$C$16*(1+Assumptions!$C$17)^(C4-1)</f>
        <v/>
      </c>
      <c r="D7" s="6">
        <f>Assumptions!$C$16*(1+Assumptions!$C$17)^(D4-1)</f>
        <v/>
      </c>
      <c r="E7" s="6">
        <f>Assumptions!$C$16*(1+Assumptions!$C$17)^(E4-1)</f>
        <v/>
      </c>
      <c r="F7" s="6">
        <f>Assumptions!$C$16*(1+Assumptions!$C$17)^(F4-1)</f>
        <v/>
      </c>
      <c r="G7" s="6">
        <f>Assumptions!$C$16*(1+Assumptions!$C$17)^(G4-1)</f>
        <v/>
      </c>
      <c r="H7" s="6">
        <f>Assumptions!$C$16*(1+Assumptions!$C$17)^(H4-1)</f>
        <v/>
      </c>
      <c r="I7" s="6">
        <f>Assumptions!$C$16*(1+Assumptions!$C$17)^(I4-1)</f>
        <v/>
      </c>
      <c r="J7" s="6">
        <f>Assumptions!$C$16*(1+Assumptions!$C$17)^(J4-1)</f>
        <v/>
      </c>
      <c r="K7" s="6">
        <f>Assumptions!$C$16*(1+Assumptions!$C$17)^(K4-1)</f>
        <v/>
      </c>
      <c r="L7" s="6">
        <f>Assumptions!$C$16*(1+Assumptions!$C$17)^(L4-1)</f>
        <v/>
      </c>
      <c r="M7" s="6">
        <f>Assumptions!$C$16*(1+Assumptions!$C$17)^(M4-1)</f>
        <v/>
      </c>
      <c r="N7" s="6">
        <f>Assumptions!$C$16*(1+Assumptions!$C$17)^(N4-1)</f>
        <v/>
      </c>
      <c r="O7" s="6">
        <f>Assumptions!$C$16*(1+Assumptions!$C$17)^(O4-1)</f>
        <v/>
      </c>
      <c r="P7" s="6">
        <f>Assumptions!$C$16*(1+Assumptions!$C$17)^(P4-1)</f>
        <v/>
      </c>
      <c r="Q7" s="6">
        <f>Assumptions!$C$16*(1+Assumptions!$C$17)^(Q4-1)</f>
        <v/>
      </c>
      <c r="R7" s="6">
        <f>Assumptions!$C$16*(1+Assumptions!$C$17)^(R4-1)</f>
        <v/>
      </c>
      <c r="S7" s="6">
        <f>Assumptions!$C$16*(1+Assumptions!$C$17)^(S4-1)</f>
        <v/>
      </c>
      <c r="T7" s="6">
        <f>Assumptions!$C$16*(1+Assumptions!$C$17)^(T4-1)</f>
        <v/>
      </c>
      <c r="U7" s="6">
        <f>Assumptions!$C$16*(1+Assumptions!$C$17)^(U4-1)</f>
        <v/>
      </c>
      <c r="V7" s="6">
        <f>Assumptions!$C$16*(1+Assumptions!$C$17)^(V4-1)</f>
        <v/>
      </c>
      <c r="W7" s="6">
        <f>Assumptions!$C$16*(1+Assumptions!$C$17)^(W4-1)</f>
        <v/>
      </c>
      <c r="X7" s="6">
        <f>Assumptions!$C$16*(1+Assumptions!$C$17)^(X4-1)</f>
        <v/>
      </c>
      <c r="Y7" s="6">
        <f>Assumptions!$C$16*(1+Assumptions!$C$17)^(Y4-1)</f>
        <v/>
      </c>
      <c r="Z7" s="6">
        <f>Assumptions!$C$16*(1+Assumptions!$C$17)^(Z4-1)</f>
        <v/>
      </c>
    </row>
    <row r="8">
      <c r="A8" s="5" t="inlineStr">
        <is>
          <t>Churned customers</t>
        </is>
      </c>
      <c r="B8" s="7" t="inlineStr">
        <is>
          <t>customers</t>
        </is>
      </c>
      <c r="C8" s="20">
        <f>C6*Assumptions!$C$18</f>
        <v/>
      </c>
      <c r="D8" s="20">
        <f>D6*Assumptions!$C$18</f>
        <v/>
      </c>
      <c r="E8" s="20">
        <f>E6*Assumptions!$C$18</f>
        <v/>
      </c>
      <c r="F8" s="20">
        <f>F6*Assumptions!$C$18</f>
        <v/>
      </c>
      <c r="G8" s="20">
        <f>G6*Assumptions!$C$18</f>
        <v/>
      </c>
      <c r="H8" s="20">
        <f>H6*Assumptions!$C$18</f>
        <v/>
      </c>
      <c r="I8" s="20">
        <f>I6*Assumptions!$C$18</f>
        <v/>
      </c>
      <c r="J8" s="20">
        <f>J6*Assumptions!$C$18</f>
        <v/>
      </c>
      <c r="K8" s="20">
        <f>K6*Assumptions!$C$18</f>
        <v/>
      </c>
      <c r="L8" s="20">
        <f>L6*Assumptions!$C$18</f>
        <v/>
      </c>
      <c r="M8" s="20">
        <f>M6*Assumptions!$C$18</f>
        <v/>
      </c>
      <c r="N8" s="20">
        <f>N6*Assumptions!$C$18</f>
        <v/>
      </c>
      <c r="O8" s="20">
        <f>O6*Assumptions!$C$18</f>
        <v/>
      </c>
      <c r="P8" s="20">
        <f>P6*Assumptions!$C$18</f>
        <v/>
      </c>
      <c r="Q8" s="20">
        <f>Q6*Assumptions!$C$18</f>
        <v/>
      </c>
      <c r="R8" s="20">
        <f>R6*Assumptions!$C$18</f>
        <v/>
      </c>
      <c r="S8" s="20">
        <f>S6*Assumptions!$C$18</f>
        <v/>
      </c>
      <c r="T8" s="20">
        <f>T6*Assumptions!$C$18</f>
        <v/>
      </c>
      <c r="U8" s="20">
        <f>U6*Assumptions!$C$18</f>
        <v/>
      </c>
      <c r="V8" s="20">
        <f>V6*Assumptions!$C$18</f>
        <v/>
      </c>
      <c r="W8" s="20">
        <f>W6*Assumptions!$C$18</f>
        <v/>
      </c>
      <c r="X8" s="20">
        <f>X6*Assumptions!$C$18</f>
        <v/>
      </c>
      <c r="Y8" s="20">
        <f>Y6*Assumptions!$C$18</f>
        <v/>
      </c>
      <c r="Z8" s="20">
        <f>Z6*Assumptions!$C$18</f>
        <v/>
      </c>
    </row>
    <row r="9">
      <c r="A9" s="26" t="inlineStr">
        <is>
          <t>Customers, end of month</t>
        </is>
      </c>
      <c r="B9" s="7" t="inlineStr">
        <is>
          <t>customers</t>
        </is>
      </c>
      <c r="C9" s="20">
        <f>C6+C7-C8</f>
        <v/>
      </c>
      <c r="D9" s="20">
        <f>D6+D7-D8</f>
        <v/>
      </c>
      <c r="E9" s="20">
        <f>E6+E7-E8</f>
        <v/>
      </c>
      <c r="F9" s="20">
        <f>F6+F7-F8</f>
        <v/>
      </c>
      <c r="G9" s="20">
        <f>G6+G7-G8</f>
        <v/>
      </c>
      <c r="H9" s="20">
        <f>H6+H7-H8</f>
        <v/>
      </c>
      <c r="I9" s="20">
        <f>I6+I7-I8</f>
        <v/>
      </c>
      <c r="J9" s="20">
        <f>J6+J7-J8</f>
        <v/>
      </c>
      <c r="K9" s="20">
        <f>K6+K7-K8</f>
        <v/>
      </c>
      <c r="L9" s="20">
        <f>L6+L7-L8</f>
        <v/>
      </c>
      <c r="M9" s="20">
        <f>M6+M7-M8</f>
        <v/>
      </c>
      <c r="N9" s="20">
        <f>N6+N7-N8</f>
        <v/>
      </c>
      <c r="O9" s="20">
        <f>O6+O7-O8</f>
        <v/>
      </c>
      <c r="P9" s="20">
        <f>P6+P7-P8</f>
        <v/>
      </c>
      <c r="Q9" s="20">
        <f>Q6+Q7-Q8</f>
        <v/>
      </c>
      <c r="R9" s="20">
        <f>R6+R7-R8</f>
        <v/>
      </c>
      <c r="S9" s="20">
        <f>S6+S7-S8</f>
        <v/>
      </c>
      <c r="T9" s="20">
        <f>T6+T7-T8</f>
        <v/>
      </c>
      <c r="U9" s="20">
        <f>U6+U7-U8</f>
        <v/>
      </c>
      <c r="V9" s="20">
        <f>V6+V7-V8</f>
        <v/>
      </c>
      <c r="W9" s="20">
        <f>W6+W7-W8</f>
        <v/>
      </c>
      <c r="X9" s="20">
        <f>X6+X7-X8</f>
        <v/>
      </c>
      <c r="Y9" s="20">
        <f>Y6+Y7-Y8</f>
        <v/>
      </c>
      <c r="Z9" s="20">
        <f>Z6+Z7-Z8</f>
        <v/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6" t="inlineStr">
        <is>
          <t>Revenue (MRR)</t>
        </is>
      </c>
      <c r="B11" s="7" t="inlineStr">
        <is>
          <t>$</t>
        </is>
      </c>
      <c r="C11" s="10">
        <f>C9*Assumptions!$C$6</f>
        <v/>
      </c>
      <c r="D11" s="10">
        <f>D9*Assumptions!$C$6</f>
        <v/>
      </c>
      <c r="E11" s="10">
        <f>E9*Assumptions!$C$6</f>
        <v/>
      </c>
      <c r="F11" s="10">
        <f>F9*Assumptions!$C$6</f>
        <v/>
      </c>
      <c r="G11" s="10">
        <f>G9*Assumptions!$C$6</f>
        <v/>
      </c>
      <c r="H11" s="10">
        <f>H9*Assumptions!$C$6</f>
        <v/>
      </c>
      <c r="I11" s="10">
        <f>I9*Assumptions!$C$6</f>
        <v/>
      </c>
      <c r="J11" s="10">
        <f>J9*Assumptions!$C$6</f>
        <v/>
      </c>
      <c r="K11" s="10">
        <f>K9*Assumptions!$C$6</f>
        <v/>
      </c>
      <c r="L11" s="10">
        <f>L9*Assumptions!$C$6</f>
        <v/>
      </c>
      <c r="M11" s="10">
        <f>M9*Assumptions!$C$6</f>
        <v/>
      </c>
      <c r="N11" s="10">
        <f>N9*Assumptions!$C$6</f>
        <v/>
      </c>
      <c r="O11" s="10">
        <f>O9*Assumptions!$C$6</f>
        <v/>
      </c>
      <c r="P11" s="10">
        <f>P9*Assumptions!$C$6</f>
        <v/>
      </c>
      <c r="Q11" s="10">
        <f>Q9*Assumptions!$C$6</f>
        <v/>
      </c>
      <c r="R11" s="10">
        <f>R9*Assumptions!$C$6</f>
        <v/>
      </c>
      <c r="S11" s="10">
        <f>S9*Assumptions!$C$6</f>
        <v/>
      </c>
      <c r="T11" s="10">
        <f>T9*Assumptions!$C$6</f>
        <v/>
      </c>
      <c r="U11" s="10">
        <f>U9*Assumptions!$C$6</f>
        <v/>
      </c>
      <c r="V11" s="10">
        <f>V9*Assumptions!$C$6</f>
        <v/>
      </c>
      <c r="W11" s="10">
        <f>W9*Assumptions!$C$6</f>
        <v/>
      </c>
      <c r="X11" s="10">
        <f>X9*Assumptions!$C$6</f>
        <v/>
      </c>
      <c r="Y11" s="10">
        <f>Y9*Assumptions!$C$6</f>
        <v/>
      </c>
      <c r="Z11" s="10">
        <f>Z9*Assumptions!$C$6</f>
        <v/>
      </c>
    </row>
    <row r="12">
      <c r="A12" s="5" t="inlineStr">
        <is>
          <t>Payment fees</t>
        </is>
      </c>
      <c r="B12" s="7" t="inlineStr">
        <is>
          <t>$</t>
        </is>
      </c>
      <c r="C12" s="10">
        <f>C9*(Assumptions!$C$6*Assumptions!$C$13+Assumptions!$C$14)</f>
        <v/>
      </c>
      <c r="D12" s="10">
        <f>D9*(Assumptions!$C$6*Assumptions!$C$13+Assumptions!$C$14)</f>
        <v/>
      </c>
      <c r="E12" s="10">
        <f>E9*(Assumptions!$C$6*Assumptions!$C$13+Assumptions!$C$14)</f>
        <v/>
      </c>
      <c r="F12" s="10">
        <f>F9*(Assumptions!$C$6*Assumptions!$C$13+Assumptions!$C$14)</f>
        <v/>
      </c>
      <c r="G12" s="10">
        <f>G9*(Assumptions!$C$6*Assumptions!$C$13+Assumptions!$C$14)</f>
        <v/>
      </c>
      <c r="H12" s="10">
        <f>H9*(Assumptions!$C$6*Assumptions!$C$13+Assumptions!$C$14)</f>
        <v/>
      </c>
      <c r="I12" s="10">
        <f>I9*(Assumptions!$C$6*Assumptions!$C$13+Assumptions!$C$14)</f>
        <v/>
      </c>
      <c r="J12" s="10">
        <f>J9*(Assumptions!$C$6*Assumptions!$C$13+Assumptions!$C$14)</f>
        <v/>
      </c>
      <c r="K12" s="10">
        <f>K9*(Assumptions!$C$6*Assumptions!$C$13+Assumptions!$C$14)</f>
        <v/>
      </c>
      <c r="L12" s="10">
        <f>L9*(Assumptions!$C$6*Assumptions!$C$13+Assumptions!$C$14)</f>
        <v/>
      </c>
      <c r="M12" s="10">
        <f>M9*(Assumptions!$C$6*Assumptions!$C$13+Assumptions!$C$14)</f>
        <v/>
      </c>
      <c r="N12" s="10">
        <f>N9*(Assumptions!$C$6*Assumptions!$C$13+Assumptions!$C$14)</f>
        <v/>
      </c>
      <c r="O12" s="10">
        <f>O9*(Assumptions!$C$6*Assumptions!$C$13+Assumptions!$C$14)</f>
        <v/>
      </c>
      <c r="P12" s="10">
        <f>P9*(Assumptions!$C$6*Assumptions!$C$13+Assumptions!$C$14)</f>
        <v/>
      </c>
      <c r="Q12" s="10">
        <f>Q9*(Assumptions!$C$6*Assumptions!$C$13+Assumptions!$C$14)</f>
        <v/>
      </c>
      <c r="R12" s="10">
        <f>R9*(Assumptions!$C$6*Assumptions!$C$13+Assumptions!$C$14)</f>
        <v/>
      </c>
      <c r="S12" s="10">
        <f>S9*(Assumptions!$C$6*Assumptions!$C$13+Assumptions!$C$14)</f>
        <v/>
      </c>
      <c r="T12" s="10">
        <f>T9*(Assumptions!$C$6*Assumptions!$C$13+Assumptions!$C$14)</f>
        <v/>
      </c>
      <c r="U12" s="10">
        <f>U9*(Assumptions!$C$6*Assumptions!$C$13+Assumptions!$C$14)</f>
        <v/>
      </c>
      <c r="V12" s="10">
        <f>V9*(Assumptions!$C$6*Assumptions!$C$13+Assumptions!$C$14)</f>
        <v/>
      </c>
      <c r="W12" s="10">
        <f>W9*(Assumptions!$C$6*Assumptions!$C$13+Assumptions!$C$14)</f>
        <v/>
      </c>
      <c r="X12" s="10">
        <f>X9*(Assumptions!$C$6*Assumptions!$C$13+Assumptions!$C$14)</f>
        <v/>
      </c>
      <c r="Y12" s="10">
        <f>Y9*(Assumptions!$C$6*Assumptions!$C$13+Assumptions!$C$14)</f>
        <v/>
      </c>
      <c r="Z12" s="10">
        <f>Z9*(Assumptions!$C$6*Assumptions!$C$13+Assumptions!$C$14)</f>
        <v/>
      </c>
    </row>
    <row r="13">
      <c r="A13" s="5" t="inlineStr">
        <is>
          <t>LLM inference</t>
        </is>
      </c>
      <c r="B13" s="7" t="inlineStr">
        <is>
          <t>$</t>
        </is>
      </c>
      <c r="C13" s="10">
        <f>C9*Assumptions!$C$10*Assumptions!$C$11</f>
        <v/>
      </c>
      <c r="D13" s="10">
        <f>D9*Assumptions!$C$10*Assumptions!$C$11</f>
        <v/>
      </c>
      <c r="E13" s="10">
        <f>E9*Assumptions!$C$10*Assumptions!$C$11</f>
        <v/>
      </c>
      <c r="F13" s="10">
        <f>F9*Assumptions!$C$10*Assumptions!$C$11</f>
        <v/>
      </c>
      <c r="G13" s="10">
        <f>G9*Assumptions!$C$10*Assumptions!$C$11</f>
        <v/>
      </c>
      <c r="H13" s="10">
        <f>H9*Assumptions!$C$10*Assumptions!$C$11</f>
        <v/>
      </c>
      <c r="I13" s="10">
        <f>I9*Assumptions!$C$10*Assumptions!$C$11</f>
        <v/>
      </c>
      <c r="J13" s="10">
        <f>J9*Assumptions!$C$10*Assumptions!$C$11</f>
        <v/>
      </c>
      <c r="K13" s="10">
        <f>K9*Assumptions!$C$10*Assumptions!$C$11</f>
        <v/>
      </c>
      <c r="L13" s="10">
        <f>L9*Assumptions!$C$10*Assumptions!$C$11</f>
        <v/>
      </c>
      <c r="M13" s="10">
        <f>M9*Assumptions!$C$10*Assumptions!$C$11</f>
        <v/>
      </c>
      <c r="N13" s="10">
        <f>N9*Assumptions!$C$10*Assumptions!$C$11</f>
        <v/>
      </c>
      <c r="O13" s="10">
        <f>O9*Assumptions!$C$10*Assumptions!$C$11</f>
        <v/>
      </c>
      <c r="P13" s="10">
        <f>P9*Assumptions!$C$10*Assumptions!$C$11</f>
        <v/>
      </c>
      <c r="Q13" s="10">
        <f>Q9*Assumptions!$C$10*Assumptions!$C$11</f>
        <v/>
      </c>
      <c r="R13" s="10">
        <f>R9*Assumptions!$C$10*Assumptions!$C$11</f>
        <v/>
      </c>
      <c r="S13" s="10">
        <f>S9*Assumptions!$C$10*Assumptions!$C$11</f>
        <v/>
      </c>
      <c r="T13" s="10">
        <f>T9*Assumptions!$C$10*Assumptions!$C$11</f>
        <v/>
      </c>
      <c r="U13" s="10">
        <f>U9*Assumptions!$C$10*Assumptions!$C$11</f>
        <v/>
      </c>
      <c r="V13" s="10">
        <f>V9*Assumptions!$C$10*Assumptions!$C$11</f>
        <v/>
      </c>
      <c r="W13" s="10">
        <f>W9*Assumptions!$C$10*Assumptions!$C$11</f>
        <v/>
      </c>
      <c r="X13" s="10">
        <f>X9*Assumptions!$C$10*Assumptions!$C$11</f>
        <v/>
      </c>
      <c r="Y13" s="10">
        <f>Y9*Assumptions!$C$10*Assumptions!$C$11</f>
        <v/>
      </c>
      <c r="Z13" s="10">
        <f>Z9*Assumptions!$C$10*Assumptions!$C$11</f>
        <v/>
      </c>
    </row>
    <row r="14">
      <c r="A14" s="5" t="inlineStr">
        <is>
          <t>Laya inference</t>
        </is>
      </c>
      <c r="B14" s="7" t="inlineStr">
        <is>
          <t>$</t>
        </is>
      </c>
      <c r="C14" s="10">
        <f>C9*Assumptions!$C$10*Assumptions!$C$12</f>
        <v/>
      </c>
      <c r="D14" s="10">
        <f>D9*Assumptions!$C$10*Assumptions!$C$12</f>
        <v/>
      </c>
      <c r="E14" s="10">
        <f>E9*Assumptions!$C$10*Assumptions!$C$12</f>
        <v/>
      </c>
      <c r="F14" s="10">
        <f>F9*Assumptions!$C$10*Assumptions!$C$12</f>
        <v/>
      </c>
      <c r="G14" s="10">
        <f>G9*Assumptions!$C$10*Assumptions!$C$12</f>
        <v/>
      </c>
      <c r="H14" s="10">
        <f>H9*Assumptions!$C$10*Assumptions!$C$12</f>
        <v/>
      </c>
      <c r="I14" s="10">
        <f>I9*Assumptions!$C$10*Assumptions!$C$12</f>
        <v/>
      </c>
      <c r="J14" s="10">
        <f>J9*Assumptions!$C$10*Assumptions!$C$12</f>
        <v/>
      </c>
      <c r="K14" s="10">
        <f>K9*Assumptions!$C$10*Assumptions!$C$12</f>
        <v/>
      </c>
      <c r="L14" s="10">
        <f>L9*Assumptions!$C$10*Assumptions!$C$12</f>
        <v/>
      </c>
      <c r="M14" s="10">
        <f>M9*Assumptions!$C$10*Assumptions!$C$12</f>
        <v/>
      </c>
      <c r="N14" s="10">
        <f>N9*Assumptions!$C$10*Assumptions!$C$12</f>
        <v/>
      </c>
      <c r="O14" s="10">
        <f>O9*Assumptions!$C$10*Assumptions!$C$12</f>
        <v/>
      </c>
      <c r="P14" s="10">
        <f>P9*Assumptions!$C$10*Assumptions!$C$12</f>
        <v/>
      </c>
      <c r="Q14" s="10">
        <f>Q9*Assumptions!$C$10*Assumptions!$C$12</f>
        <v/>
      </c>
      <c r="R14" s="10">
        <f>R9*Assumptions!$C$10*Assumptions!$C$12</f>
        <v/>
      </c>
      <c r="S14" s="10">
        <f>S9*Assumptions!$C$10*Assumptions!$C$12</f>
        <v/>
      </c>
      <c r="T14" s="10">
        <f>T9*Assumptions!$C$10*Assumptions!$C$12</f>
        <v/>
      </c>
      <c r="U14" s="10">
        <f>U9*Assumptions!$C$10*Assumptions!$C$12</f>
        <v/>
      </c>
      <c r="V14" s="10">
        <f>V9*Assumptions!$C$10*Assumptions!$C$12</f>
        <v/>
      </c>
      <c r="W14" s="10">
        <f>W9*Assumptions!$C$10*Assumptions!$C$12</f>
        <v/>
      </c>
      <c r="X14" s="10">
        <f>X9*Assumptions!$C$10*Assumptions!$C$12</f>
        <v/>
      </c>
      <c r="Y14" s="10">
        <f>Y9*Assumptions!$C$10*Assumptions!$C$12</f>
        <v/>
      </c>
      <c r="Z14" s="10">
        <f>Z9*Assumptions!$C$10*Assumptions!$C$12</f>
        <v/>
      </c>
    </row>
    <row r="15">
      <c r="A15" s="26" t="inlineStr">
        <is>
          <t>Gross profit</t>
        </is>
      </c>
      <c r="B15" s="7" t="inlineStr">
        <is>
          <t>$</t>
        </is>
      </c>
      <c r="C15" s="10">
        <f>C11-C12-C13-C14</f>
        <v/>
      </c>
      <c r="D15" s="10">
        <f>D11-D12-D13-D14</f>
        <v/>
      </c>
      <c r="E15" s="10">
        <f>E11-E12-E13-E14</f>
        <v/>
      </c>
      <c r="F15" s="10">
        <f>F11-F12-F13-F14</f>
        <v/>
      </c>
      <c r="G15" s="10">
        <f>G11-G12-G13-G14</f>
        <v/>
      </c>
      <c r="H15" s="10">
        <f>H11-H12-H13-H14</f>
        <v/>
      </c>
      <c r="I15" s="10">
        <f>I11-I12-I13-I14</f>
        <v/>
      </c>
      <c r="J15" s="10">
        <f>J11-J12-J13-J14</f>
        <v/>
      </c>
      <c r="K15" s="10">
        <f>K11-K12-K13-K14</f>
        <v/>
      </c>
      <c r="L15" s="10">
        <f>L11-L12-L13-L14</f>
        <v/>
      </c>
      <c r="M15" s="10">
        <f>M11-M12-M13-M14</f>
        <v/>
      </c>
      <c r="N15" s="10">
        <f>N11-N12-N13-N14</f>
        <v/>
      </c>
      <c r="O15" s="10">
        <f>O11-O12-O13-O14</f>
        <v/>
      </c>
      <c r="P15" s="10">
        <f>P11-P12-P13-P14</f>
        <v/>
      </c>
      <c r="Q15" s="10">
        <f>Q11-Q12-Q13-Q14</f>
        <v/>
      </c>
      <c r="R15" s="10">
        <f>R11-R12-R13-R14</f>
        <v/>
      </c>
      <c r="S15" s="10">
        <f>S11-S12-S13-S14</f>
        <v/>
      </c>
      <c r="T15" s="10">
        <f>T11-T12-T13-T14</f>
        <v/>
      </c>
      <c r="U15" s="10">
        <f>U11-U12-U13-U14</f>
        <v/>
      </c>
      <c r="V15" s="10">
        <f>V11-V12-V13-V14</f>
        <v/>
      </c>
      <c r="W15" s="10">
        <f>W11-W12-W13-W14</f>
        <v/>
      </c>
      <c r="X15" s="10">
        <f>X11-X12-X13-X14</f>
        <v/>
      </c>
      <c r="Y15" s="10">
        <f>Y11-Y12-Y13-Y14</f>
        <v/>
      </c>
      <c r="Z15" s="10">
        <f>Z11-Z12-Z13-Z14</f>
        <v/>
      </c>
    </row>
    <row r="16">
      <c r="A16" s="5" t="inlineStr">
        <is>
          <t>Gross margin</t>
        </is>
      </c>
      <c r="B16" s="7" t="inlineStr">
        <is>
          <t>%</t>
        </is>
      </c>
      <c r="C16" s="29">
        <f>IF(C11=0,0,C15/C11)</f>
        <v/>
      </c>
      <c r="D16" s="29">
        <f>IF(D11=0,0,D15/D11)</f>
        <v/>
      </c>
      <c r="E16" s="29">
        <f>IF(E11=0,0,E15/E11)</f>
        <v/>
      </c>
      <c r="F16" s="29">
        <f>IF(F11=0,0,F15/F11)</f>
        <v/>
      </c>
      <c r="G16" s="29">
        <f>IF(G11=0,0,G15/G11)</f>
        <v/>
      </c>
      <c r="H16" s="29">
        <f>IF(H11=0,0,H15/H11)</f>
        <v/>
      </c>
      <c r="I16" s="29">
        <f>IF(I11=0,0,I15/I11)</f>
        <v/>
      </c>
      <c r="J16" s="29">
        <f>IF(J11=0,0,J15/J11)</f>
        <v/>
      </c>
      <c r="K16" s="29">
        <f>IF(K11=0,0,K15/K11)</f>
        <v/>
      </c>
      <c r="L16" s="29">
        <f>IF(L11=0,0,L15/L11)</f>
        <v/>
      </c>
      <c r="M16" s="29">
        <f>IF(M11=0,0,M15/M11)</f>
        <v/>
      </c>
      <c r="N16" s="29">
        <f>IF(N11=0,0,N15/N11)</f>
        <v/>
      </c>
      <c r="O16" s="29">
        <f>IF(O11=0,0,O15/O11)</f>
        <v/>
      </c>
      <c r="P16" s="29">
        <f>IF(P11=0,0,P15/P11)</f>
        <v/>
      </c>
      <c r="Q16" s="29">
        <f>IF(Q11=0,0,Q15/Q11)</f>
        <v/>
      </c>
      <c r="R16" s="29">
        <f>IF(R11=0,0,R15/R11)</f>
        <v/>
      </c>
      <c r="S16" s="29">
        <f>IF(S11=0,0,S15/S11)</f>
        <v/>
      </c>
      <c r="T16" s="29">
        <f>IF(T11=0,0,T15/T11)</f>
        <v/>
      </c>
      <c r="U16" s="29">
        <f>IF(U11=0,0,U15/U11)</f>
        <v/>
      </c>
      <c r="V16" s="29">
        <f>IF(V11=0,0,V15/V11)</f>
        <v/>
      </c>
      <c r="W16" s="29">
        <f>IF(W11=0,0,W15/W11)</f>
        <v/>
      </c>
      <c r="X16" s="29">
        <f>IF(X11=0,0,X15/X11)</f>
        <v/>
      </c>
      <c r="Y16" s="29">
        <f>IF(Y11=0,0,Y15/Y11)</f>
        <v/>
      </c>
      <c r="Z16" s="29">
        <f>IF(Z11=0,0,Z15/Z11)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" t="inlineStr">
        <is>
          <t>Marketing (new customers x CAC)</t>
        </is>
      </c>
      <c r="B18" s="7" t="inlineStr">
        <is>
          <t>$</t>
        </is>
      </c>
      <c r="C18" s="10">
        <f>C7*Assumptions!$C$19</f>
        <v/>
      </c>
      <c r="D18" s="10">
        <f>D7*Assumptions!$C$19</f>
        <v/>
      </c>
      <c r="E18" s="10">
        <f>E7*Assumptions!$C$19</f>
        <v/>
      </c>
      <c r="F18" s="10">
        <f>F7*Assumptions!$C$19</f>
        <v/>
      </c>
      <c r="G18" s="10">
        <f>G7*Assumptions!$C$19</f>
        <v/>
      </c>
      <c r="H18" s="10">
        <f>H7*Assumptions!$C$19</f>
        <v/>
      </c>
      <c r="I18" s="10">
        <f>I7*Assumptions!$C$19</f>
        <v/>
      </c>
      <c r="J18" s="10">
        <f>J7*Assumptions!$C$19</f>
        <v/>
      </c>
      <c r="K18" s="10">
        <f>K7*Assumptions!$C$19</f>
        <v/>
      </c>
      <c r="L18" s="10">
        <f>L7*Assumptions!$C$19</f>
        <v/>
      </c>
      <c r="M18" s="10">
        <f>M7*Assumptions!$C$19</f>
        <v/>
      </c>
      <c r="N18" s="10">
        <f>N7*Assumptions!$C$19</f>
        <v/>
      </c>
      <c r="O18" s="10">
        <f>O7*Assumptions!$C$19</f>
        <v/>
      </c>
      <c r="P18" s="10">
        <f>P7*Assumptions!$C$19</f>
        <v/>
      </c>
      <c r="Q18" s="10">
        <f>Q7*Assumptions!$C$19</f>
        <v/>
      </c>
      <c r="R18" s="10">
        <f>R7*Assumptions!$C$19</f>
        <v/>
      </c>
      <c r="S18" s="10">
        <f>S7*Assumptions!$C$19</f>
        <v/>
      </c>
      <c r="T18" s="10">
        <f>T7*Assumptions!$C$19</f>
        <v/>
      </c>
      <c r="U18" s="10">
        <f>U7*Assumptions!$C$19</f>
        <v/>
      </c>
      <c r="V18" s="10">
        <f>V7*Assumptions!$C$19</f>
        <v/>
      </c>
      <c r="W18" s="10">
        <f>W7*Assumptions!$C$19</f>
        <v/>
      </c>
      <c r="X18" s="10">
        <f>X7*Assumptions!$C$19</f>
        <v/>
      </c>
      <c r="Y18" s="10">
        <f>Y7*Assumptions!$C$19</f>
        <v/>
      </c>
      <c r="Z18" s="10">
        <f>Z7*Assumptions!$C$19</f>
        <v/>
      </c>
    </row>
    <row r="19">
      <c r="A19" s="5" t="inlineStr">
        <is>
          <t>Hosting and tools</t>
        </is>
      </c>
      <c r="B19" s="7" t="inlineStr">
        <is>
          <t>$</t>
        </is>
      </c>
      <c r="C19" s="8">
        <f>Assumptions!$C$20</f>
        <v/>
      </c>
      <c r="D19" s="8">
        <f>Assumptions!$C$20</f>
        <v/>
      </c>
      <c r="E19" s="8">
        <f>Assumptions!$C$20</f>
        <v/>
      </c>
      <c r="F19" s="8">
        <f>Assumptions!$C$20</f>
        <v/>
      </c>
      <c r="G19" s="8">
        <f>Assumptions!$C$20</f>
        <v/>
      </c>
      <c r="H19" s="8">
        <f>Assumptions!$C$20</f>
        <v/>
      </c>
      <c r="I19" s="8">
        <f>Assumptions!$C$20</f>
        <v/>
      </c>
      <c r="J19" s="8">
        <f>Assumptions!$C$20</f>
        <v/>
      </c>
      <c r="K19" s="8">
        <f>Assumptions!$C$20</f>
        <v/>
      </c>
      <c r="L19" s="8">
        <f>Assumptions!$C$20</f>
        <v/>
      </c>
      <c r="M19" s="8">
        <f>Assumptions!$C$20</f>
        <v/>
      </c>
      <c r="N19" s="8">
        <f>Assumptions!$C$20</f>
        <v/>
      </c>
      <c r="O19" s="8">
        <f>Assumptions!$C$20</f>
        <v/>
      </c>
      <c r="P19" s="8">
        <f>Assumptions!$C$20</f>
        <v/>
      </c>
      <c r="Q19" s="8">
        <f>Assumptions!$C$20</f>
        <v/>
      </c>
      <c r="R19" s="8">
        <f>Assumptions!$C$20</f>
        <v/>
      </c>
      <c r="S19" s="8">
        <f>Assumptions!$C$20</f>
        <v/>
      </c>
      <c r="T19" s="8">
        <f>Assumptions!$C$20</f>
        <v/>
      </c>
      <c r="U19" s="8">
        <f>Assumptions!$C$20</f>
        <v/>
      </c>
      <c r="V19" s="8">
        <f>Assumptions!$C$20</f>
        <v/>
      </c>
      <c r="W19" s="8">
        <f>Assumptions!$C$20</f>
        <v/>
      </c>
      <c r="X19" s="8">
        <f>Assumptions!$C$20</f>
        <v/>
      </c>
      <c r="Y19" s="8">
        <f>Assumptions!$C$20</f>
        <v/>
      </c>
      <c r="Z19" s="8">
        <f>Assumptions!$C$20</f>
        <v/>
      </c>
    </row>
    <row r="20">
      <c r="A20" s="5" t="inlineStr">
        <is>
          <t>neatlogs</t>
        </is>
      </c>
      <c r="B20" s="7" t="inlineStr">
        <is>
          <t>$</t>
        </is>
      </c>
      <c r="C20" s="8">
        <f>Assumptions!$C$21</f>
        <v/>
      </c>
      <c r="D20" s="8">
        <f>Assumptions!$C$21</f>
        <v/>
      </c>
      <c r="E20" s="8">
        <f>Assumptions!$C$21</f>
        <v/>
      </c>
      <c r="F20" s="8">
        <f>Assumptions!$C$21</f>
        <v/>
      </c>
      <c r="G20" s="8">
        <f>Assumptions!$C$21</f>
        <v/>
      </c>
      <c r="H20" s="8">
        <f>Assumptions!$C$21</f>
        <v/>
      </c>
      <c r="I20" s="8">
        <f>Assumptions!$C$21</f>
        <v/>
      </c>
      <c r="J20" s="8">
        <f>Assumptions!$C$21</f>
        <v/>
      </c>
      <c r="K20" s="8">
        <f>Assumptions!$C$21</f>
        <v/>
      </c>
      <c r="L20" s="8">
        <f>Assumptions!$C$21</f>
        <v/>
      </c>
      <c r="M20" s="8">
        <f>Assumptions!$C$21</f>
        <v/>
      </c>
      <c r="N20" s="8">
        <f>Assumptions!$C$21</f>
        <v/>
      </c>
      <c r="O20" s="8">
        <f>Assumptions!$C$21</f>
        <v/>
      </c>
      <c r="P20" s="8">
        <f>Assumptions!$C$21</f>
        <v/>
      </c>
      <c r="Q20" s="8">
        <f>Assumptions!$C$21</f>
        <v/>
      </c>
      <c r="R20" s="8">
        <f>Assumptions!$C$21</f>
        <v/>
      </c>
      <c r="S20" s="8">
        <f>Assumptions!$C$21</f>
        <v/>
      </c>
      <c r="T20" s="8">
        <f>Assumptions!$C$21</f>
        <v/>
      </c>
      <c r="U20" s="8">
        <f>Assumptions!$C$21</f>
        <v/>
      </c>
      <c r="V20" s="8">
        <f>Assumptions!$C$21</f>
        <v/>
      </c>
      <c r="W20" s="8">
        <f>Assumptions!$C$21</f>
        <v/>
      </c>
      <c r="X20" s="8">
        <f>Assumptions!$C$21</f>
        <v/>
      </c>
      <c r="Y20" s="8">
        <f>Assumptions!$C$21</f>
        <v/>
      </c>
      <c r="Z20" s="8">
        <f>Assumptions!$C$21</f>
        <v/>
      </c>
    </row>
    <row r="21">
      <c r="A21" s="5" t="inlineStr">
        <is>
          <t>Team</t>
        </is>
      </c>
      <c r="B21" s="7" t="inlineStr">
        <is>
          <t>$</t>
        </is>
      </c>
      <c r="C21" s="8">
        <f>Assumptions!$C$22</f>
        <v/>
      </c>
      <c r="D21" s="8">
        <f>Assumptions!$C$22</f>
        <v/>
      </c>
      <c r="E21" s="8">
        <f>Assumptions!$C$22</f>
        <v/>
      </c>
      <c r="F21" s="8">
        <f>Assumptions!$C$22</f>
        <v/>
      </c>
      <c r="G21" s="8">
        <f>Assumptions!$C$22</f>
        <v/>
      </c>
      <c r="H21" s="8">
        <f>Assumptions!$C$22</f>
        <v/>
      </c>
      <c r="I21" s="8">
        <f>Assumptions!$C$22</f>
        <v/>
      </c>
      <c r="J21" s="8">
        <f>Assumptions!$C$22</f>
        <v/>
      </c>
      <c r="K21" s="8">
        <f>Assumptions!$C$22</f>
        <v/>
      </c>
      <c r="L21" s="8">
        <f>Assumptions!$C$22</f>
        <v/>
      </c>
      <c r="M21" s="8">
        <f>Assumptions!$C$22</f>
        <v/>
      </c>
      <c r="N21" s="8">
        <f>Assumptions!$C$22</f>
        <v/>
      </c>
      <c r="O21" s="8">
        <f>Assumptions!$C$22</f>
        <v/>
      </c>
      <c r="P21" s="8">
        <f>Assumptions!$C$22</f>
        <v/>
      </c>
      <c r="Q21" s="8">
        <f>Assumptions!$C$22</f>
        <v/>
      </c>
      <c r="R21" s="8">
        <f>Assumptions!$C$22</f>
        <v/>
      </c>
      <c r="S21" s="8">
        <f>Assumptions!$C$22</f>
        <v/>
      </c>
      <c r="T21" s="8">
        <f>Assumptions!$C$22</f>
        <v/>
      </c>
      <c r="U21" s="8">
        <f>Assumptions!$C$22</f>
        <v/>
      </c>
      <c r="V21" s="8">
        <f>Assumptions!$C$22</f>
        <v/>
      </c>
      <c r="W21" s="8">
        <f>Assumptions!$C$22</f>
        <v/>
      </c>
      <c r="X21" s="8">
        <f>Assumptions!$C$22</f>
        <v/>
      </c>
      <c r="Y21" s="8">
        <f>Assumptions!$C$22</f>
        <v/>
      </c>
      <c r="Z21" s="8">
        <f>Assumptions!$C$22</f>
        <v/>
      </c>
    </row>
    <row r="22">
      <c r="A22" s="26" t="inlineStr">
        <is>
          <t>Operating profit</t>
        </is>
      </c>
      <c r="B22" s="7" t="inlineStr">
        <is>
          <t>$</t>
        </is>
      </c>
      <c r="C22" s="10">
        <f>C15-C18-C19-C20-C21</f>
        <v/>
      </c>
      <c r="D22" s="10">
        <f>D15-D18-D19-D20-D21</f>
        <v/>
      </c>
      <c r="E22" s="10">
        <f>E15-E18-E19-E20-E21</f>
        <v/>
      </c>
      <c r="F22" s="10">
        <f>F15-F18-F19-F20-F21</f>
        <v/>
      </c>
      <c r="G22" s="10">
        <f>G15-G18-G19-G20-G21</f>
        <v/>
      </c>
      <c r="H22" s="10">
        <f>H15-H18-H19-H20-H21</f>
        <v/>
      </c>
      <c r="I22" s="10">
        <f>I15-I18-I19-I20-I21</f>
        <v/>
      </c>
      <c r="J22" s="10">
        <f>J15-J18-J19-J20-J21</f>
        <v/>
      </c>
      <c r="K22" s="10">
        <f>K15-K18-K19-K20-K21</f>
        <v/>
      </c>
      <c r="L22" s="10">
        <f>L15-L18-L19-L20-L21</f>
        <v/>
      </c>
      <c r="M22" s="10">
        <f>M15-M18-M19-M20-M21</f>
        <v/>
      </c>
      <c r="N22" s="10">
        <f>N15-N18-N19-N20-N21</f>
        <v/>
      </c>
      <c r="O22" s="10">
        <f>O15-O18-O19-O20-O21</f>
        <v/>
      </c>
      <c r="P22" s="10">
        <f>P15-P18-P19-P20-P21</f>
        <v/>
      </c>
      <c r="Q22" s="10">
        <f>Q15-Q18-Q19-Q20-Q21</f>
        <v/>
      </c>
      <c r="R22" s="10">
        <f>R15-R18-R19-R20-R21</f>
        <v/>
      </c>
      <c r="S22" s="10">
        <f>S15-S18-S19-S20-S21</f>
        <v/>
      </c>
      <c r="T22" s="10">
        <f>T15-T18-T19-T20-T21</f>
        <v/>
      </c>
      <c r="U22" s="10">
        <f>U15-U18-U19-U20-U21</f>
        <v/>
      </c>
      <c r="V22" s="10">
        <f>V15-V18-V19-V20-V21</f>
        <v/>
      </c>
      <c r="W22" s="10">
        <f>W15-W18-W19-W20-W21</f>
        <v/>
      </c>
      <c r="X22" s="10">
        <f>X15-X18-X19-X20-X21</f>
        <v/>
      </c>
      <c r="Y22" s="10">
        <f>Y15-Y18-Y19-Y20-Y21</f>
        <v/>
      </c>
      <c r="Z22" s="10">
        <f>Z15-Z18-Z19-Z20-Z21</f>
        <v/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" t="inlineStr">
        <is>
          <t>Cash, start of month</t>
        </is>
      </c>
      <c r="B24" s="7" t="inlineStr">
        <is>
          <t>$</t>
        </is>
      </c>
      <c r="C24" s="8">
        <f>Assumptions!$C$23</f>
        <v/>
      </c>
      <c r="D24" s="10">
        <f>C25</f>
        <v/>
      </c>
      <c r="E24" s="10">
        <f>D25</f>
        <v/>
      </c>
      <c r="F24" s="10">
        <f>E25</f>
        <v/>
      </c>
      <c r="G24" s="10">
        <f>F25</f>
        <v/>
      </c>
      <c r="H24" s="10">
        <f>G25</f>
        <v/>
      </c>
      <c r="I24" s="10">
        <f>H25</f>
        <v/>
      </c>
      <c r="J24" s="10">
        <f>I25</f>
        <v/>
      </c>
      <c r="K24" s="10">
        <f>J25</f>
        <v/>
      </c>
      <c r="L24" s="10">
        <f>K25</f>
        <v/>
      </c>
      <c r="M24" s="10">
        <f>L25</f>
        <v/>
      </c>
      <c r="N24" s="10">
        <f>M25</f>
        <v/>
      </c>
      <c r="O24" s="10">
        <f>N25</f>
        <v/>
      </c>
      <c r="P24" s="10">
        <f>O25</f>
        <v/>
      </c>
      <c r="Q24" s="10">
        <f>P25</f>
        <v/>
      </c>
      <c r="R24" s="10">
        <f>Q25</f>
        <v/>
      </c>
      <c r="S24" s="10">
        <f>R25</f>
        <v/>
      </c>
      <c r="T24" s="10">
        <f>S25</f>
        <v/>
      </c>
      <c r="U24" s="10">
        <f>T25</f>
        <v/>
      </c>
      <c r="V24" s="10">
        <f>U25</f>
        <v/>
      </c>
      <c r="W24" s="10">
        <f>V25</f>
        <v/>
      </c>
      <c r="X24" s="10">
        <f>W25</f>
        <v/>
      </c>
      <c r="Y24" s="10">
        <f>X25</f>
        <v/>
      </c>
      <c r="Z24" s="10">
        <f>Y25</f>
        <v/>
      </c>
    </row>
    <row r="25">
      <c r="A25" s="26" t="inlineStr">
        <is>
          <t>Cash, end of month</t>
        </is>
      </c>
      <c r="B25" s="7" t="inlineStr">
        <is>
          <t>$</t>
        </is>
      </c>
      <c r="C25" s="10">
        <f>C24+C22</f>
        <v/>
      </c>
      <c r="D25" s="10">
        <f>D24+D22</f>
        <v/>
      </c>
      <c r="E25" s="10">
        <f>E24+E22</f>
        <v/>
      </c>
      <c r="F25" s="10">
        <f>F24+F22</f>
        <v/>
      </c>
      <c r="G25" s="10">
        <f>G24+G22</f>
        <v/>
      </c>
      <c r="H25" s="10">
        <f>H24+H22</f>
        <v/>
      </c>
      <c r="I25" s="10">
        <f>I24+I22</f>
        <v/>
      </c>
      <c r="J25" s="10">
        <f>J24+J22</f>
        <v/>
      </c>
      <c r="K25" s="10">
        <f>K24+K22</f>
        <v/>
      </c>
      <c r="L25" s="10">
        <f>L24+L22</f>
        <v/>
      </c>
      <c r="M25" s="10">
        <f>M24+M22</f>
        <v/>
      </c>
      <c r="N25" s="10">
        <f>N24+N22</f>
        <v/>
      </c>
      <c r="O25" s="10">
        <f>O24+O22</f>
        <v/>
      </c>
      <c r="P25" s="10">
        <f>P24+P22</f>
        <v/>
      </c>
      <c r="Q25" s="10">
        <f>Q24+Q22</f>
        <v/>
      </c>
      <c r="R25" s="10">
        <f>R24+R22</f>
        <v/>
      </c>
      <c r="S25" s="10">
        <f>S24+S22</f>
        <v/>
      </c>
      <c r="T25" s="10">
        <f>T24+T22</f>
        <v/>
      </c>
      <c r="U25" s="10">
        <f>U24+U22</f>
        <v/>
      </c>
      <c r="V25" s="10">
        <f>V24+V22</f>
        <v/>
      </c>
      <c r="W25" s="10">
        <f>W24+W22</f>
        <v/>
      </c>
      <c r="X25" s="10">
        <f>X24+X22</f>
        <v/>
      </c>
      <c r="Y25" s="10">
        <f>Y24+Y22</f>
        <v/>
      </c>
      <c r="Z25" s="10">
        <f>Z24+Z22</f>
        <v/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" t="inlineStr">
        <is>
          <t>Flag: cash below zero (1 = yes)</t>
        </is>
      </c>
      <c r="B27" s="7" t="inlineStr">
        <is>
          <t>flag</t>
        </is>
      </c>
      <c r="C27" s="11">
        <f>IF(C25&lt;0,1,0)</f>
        <v/>
      </c>
      <c r="D27" s="11">
        <f>IF(D25&lt;0,1,0)</f>
        <v/>
      </c>
      <c r="E27" s="11">
        <f>IF(E25&lt;0,1,0)</f>
        <v/>
      </c>
      <c r="F27" s="11">
        <f>IF(F25&lt;0,1,0)</f>
        <v/>
      </c>
      <c r="G27" s="11">
        <f>IF(G25&lt;0,1,0)</f>
        <v/>
      </c>
      <c r="H27" s="11">
        <f>IF(H25&lt;0,1,0)</f>
        <v/>
      </c>
      <c r="I27" s="11">
        <f>IF(I25&lt;0,1,0)</f>
        <v/>
      </c>
      <c r="J27" s="11">
        <f>IF(J25&lt;0,1,0)</f>
        <v/>
      </c>
      <c r="K27" s="11">
        <f>IF(K25&lt;0,1,0)</f>
        <v/>
      </c>
      <c r="L27" s="11">
        <f>IF(L25&lt;0,1,0)</f>
        <v/>
      </c>
      <c r="M27" s="11">
        <f>IF(M25&lt;0,1,0)</f>
        <v/>
      </c>
      <c r="N27" s="11">
        <f>IF(N25&lt;0,1,0)</f>
        <v/>
      </c>
      <c r="O27" s="11">
        <f>IF(O25&lt;0,1,0)</f>
        <v/>
      </c>
      <c r="P27" s="11">
        <f>IF(P25&lt;0,1,0)</f>
        <v/>
      </c>
      <c r="Q27" s="11">
        <f>IF(Q25&lt;0,1,0)</f>
        <v/>
      </c>
      <c r="R27" s="11">
        <f>IF(R25&lt;0,1,0)</f>
        <v/>
      </c>
      <c r="S27" s="11">
        <f>IF(S25&lt;0,1,0)</f>
        <v/>
      </c>
      <c r="T27" s="11">
        <f>IF(T25&lt;0,1,0)</f>
        <v/>
      </c>
      <c r="U27" s="11">
        <f>IF(U25&lt;0,1,0)</f>
        <v/>
      </c>
      <c r="V27" s="11">
        <f>IF(V25&lt;0,1,0)</f>
        <v/>
      </c>
      <c r="W27" s="11">
        <f>IF(W25&lt;0,1,0)</f>
        <v/>
      </c>
      <c r="X27" s="11">
        <f>IF(X25&lt;0,1,0)</f>
        <v/>
      </c>
      <c r="Y27" s="11">
        <f>IF(Y25&lt;0,1,0)</f>
        <v/>
      </c>
      <c r="Z27" s="11">
        <f>IF(Z25&lt;0,1,0)</f>
        <v/>
      </c>
    </row>
    <row r="28">
      <c r="A28" s="5" t="inlineStr">
        <is>
          <t>Flag: operating profit at or above zero (1 = yes)</t>
        </is>
      </c>
      <c r="B28" s="7" t="inlineStr">
        <is>
          <t>flag</t>
        </is>
      </c>
      <c r="C28" s="11">
        <f>IF(C22&gt;=0,1,0)</f>
        <v/>
      </c>
      <c r="D28" s="11">
        <f>IF(D22&gt;=0,1,0)</f>
        <v/>
      </c>
      <c r="E28" s="11">
        <f>IF(E22&gt;=0,1,0)</f>
        <v/>
      </c>
      <c r="F28" s="11">
        <f>IF(F22&gt;=0,1,0)</f>
        <v/>
      </c>
      <c r="G28" s="11">
        <f>IF(G22&gt;=0,1,0)</f>
        <v/>
      </c>
      <c r="H28" s="11">
        <f>IF(H22&gt;=0,1,0)</f>
        <v/>
      </c>
      <c r="I28" s="11">
        <f>IF(I22&gt;=0,1,0)</f>
        <v/>
      </c>
      <c r="J28" s="11">
        <f>IF(J22&gt;=0,1,0)</f>
        <v/>
      </c>
      <c r="K28" s="11">
        <f>IF(K22&gt;=0,1,0)</f>
        <v/>
      </c>
      <c r="L28" s="11">
        <f>IF(L22&gt;=0,1,0)</f>
        <v/>
      </c>
      <c r="M28" s="11">
        <f>IF(M22&gt;=0,1,0)</f>
        <v/>
      </c>
      <c r="N28" s="11">
        <f>IF(N22&gt;=0,1,0)</f>
        <v/>
      </c>
      <c r="O28" s="11">
        <f>IF(O22&gt;=0,1,0)</f>
        <v/>
      </c>
      <c r="P28" s="11">
        <f>IF(P22&gt;=0,1,0)</f>
        <v/>
      </c>
      <c r="Q28" s="11">
        <f>IF(Q22&gt;=0,1,0)</f>
        <v/>
      </c>
      <c r="R28" s="11">
        <f>IF(R22&gt;=0,1,0)</f>
        <v/>
      </c>
      <c r="S28" s="11">
        <f>IF(S22&gt;=0,1,0)</f>
        <v/>
      </c>
      <c r="T28" s="11">
        <f>IF(T22&gt;=0,1,0)</f>
        <v/>
      </c>
      <c r="U28" s="11">
        <f>IF(U22&gt;=0,1,0)</f>
        <v/>
      </c>
      <c r="V28" s="11">
        <f>IF(V22&gt;=0,1,0)</f>
        <v/>
      </c>
      <c r="W28" s="11">
        <f>IF(W22&gt;=0,1,0)</f>
        <v/>
      </c>
      <c r="X28" s="11">
        <f>IF(X22&gt;=0,1,0)</f>
        <v/>
      </c>
      <c r="Y28" s="11">
        <f>IF(Y22&gt;=0,1,0)</f>
        <v/>
      </c>
      <c r="Z28" s="11">
        <f>IF(Z22&gt;=0,1,0)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4" customWidth="1" min="4" max="4"/>
  </cols>
  <sheetData>
    <row r="1">
      <c r="A1" s="1" t="inlineStr">
        <is>
          <t>Unit economics: one watchlist subscription, per month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4" t="inlineStr">
        <is>
          <t>Line</t>
        </is>
      </c>
      <c r="B3" s="4" t="inlineStr">
        <is>
          <t>Base</t>
        </is>
      </c>
      <c r="C3" s="4" t="inlineStr">
        <is>
          <t>Growth</t>
        </is>
      </c>
      <c r="D3" s="4" t="inlineStr">
        <is>
          <t>Unit</t>
        </is>
      </c>
    </row>
    <row r="4">
      <c r="A4" s="5" t="inlineStr">
        <is>
          <t>Price</t>
        </is>
      </c>
      <c r="B4" s="12">
        <f>Assumptions!$B$6</f>
        <v/>
      </c>
      <c r="C4" s="12">
        <f>Assumptions!$C$6</f>
        <v/>
      </c>
      <c r="D4" s="7" t="inlineStr">
        <is>
          <t>$ / month</t>
        </is>
      </c>
    </row>
    <row r="5">
      <c r="A5" s="5" t="inlineStr">
        <is>
          <t>Payment fees</t>
        </is>
      </c>
      <c r="B5" s="30">
        <f>Assumptions!$B$6*Assumptions!$B$13+Assumptions!$B$14</f>
        <v/>
      </c>
      <c r="C5" s="30">
        <f>Assumptions!$C$6*Assumptions!$C$13+Assumptions!$C$14</f>
        <v/>
      </c>
      <c r="D5" s="7" t="inlineStr">
        <is>
          <t>$ / month</t>
        </is>
      </c>
    </row>
    <row r="6">
      <c r="A6" s="5" t="inlineStr">
        <is>
          <t>LLM inference</t>
        </is>
      </c>
      <c r="B6" s="30">
        <f>Assumptions!$B$10*Assumptions!$B$11</f>
        <v/>
      </c>
      <c r="C6" s="30">
        <f>Assumptions!$C$10*Assumptions!$C$11</f>
        <v/>
      </c>
      <c r="D6" s="7" t="inlineStr">
        <is>
          <t>$ / month</t>
        </is>
      </c>
    </row>
    <row r="7">
      <c r="A7" s="5" t="inlineStr">
        <is>
          <t>Laya inference</t>
        </is>
      </c>
      <c r="B7" s="30">
        <f>Assumptions!$B$10*Assumptions!$B$12</f>
        <v/>
      </c>
      <c r="C7" s="30">
        <f>Assumptions!$C$10*Assumptions!$C$12</f>
        <v/>
      </c>
      <c r="D7" s="7" t="inlineStr">
        <is>
          <t>$ / month</t>
        </is>
      </c>
    </row>
    <row r="8">
      <c r="A8" s="26" t="inlineStr">
        <is>
          <t>Contribution margin</t>
        </is>
      </c>
      <c r="B8" s="30">
        <f>B4-B5-B6-B7</f>
        <v/>
      </c>
      <c r="C8" s="30">
        <f>C4-C5-C6-C7</f>
        <v/>
      </c>
      <c r="D8" s="7" t="inlineStr">
        <is>
          <t>$ / month</t>
        </is>
      </c>
    </row>
    <row r="9">
      <c r="A9" s="5" t="inlineStr">
        <is>
          <t>Contribution margin, share of price</t>
        </is>
      </c>
      <c r="B9" s="29">
        <f>IF(B4=0,0,B8/B4)</f>
        <v/>
      </c>
      <c r="C9" s="29">
        <f>IF(C4=0,0,C8/C4)</f>
        <v/>
      </c>
      <c r="D9" s="7" t="inlineStr">
        <is>
          <t>%</t>
        </is>
      </c>
    </row>
    <row r="10">
      <c r="A10" s="5" t="inlineStr">
        <is>
          <t>Acquisition cost (CAC)</t>
        </is>
      </c>
      <c r="B10" s="8">
        <f>Assumptions!$B$19</f>
        <v/>
      </c>
      <c r="C10" s="8">
        <f>Assumptions!$C$19</f>
        <v/>
      </c>
      <c r="D10" s="7" t="inlineStr">
        <is>
          <t>$ / customer</t>
        </is>
      </c>
    </row>
    <row r="11">
      <c r="A11" s="5" t="inlineStr">
        <is>
          <t>CAC payback</t>
        </is>
      </c>
      <c r="B11" s="31">
        <f>IF(B8&lt;=0,"n/a",B10/B8)</f>
        <v/>
      </c>
      <c r="C11" s="31">
        <f>IF(C8&lt;=0,"n/a",C10/C8)</f>
        <v/>
      </c>
      <c r="D11" s="7" t="inlineStr">
        <is>
          <t>months</t>
        </is>
      </c>
    </row>
    <row r="12">
      <c r="A12" s="5" t="inlineStr">
        <is>
          <t>Customer lifetime value (LTV)</t>
        </is>
      </c>
      <c r="B12" s="10">
        <f>IF(Assumptions!$B$18=0,"n/a",B8/Assumptions!$B$18)</f>
        <v/>
      </c>
      <c r="C12" s="10">
        <f>IF(Assumptions!$C$18=0,"n/a",C8/Assumptions!$C$18)</f>
        <v/>
      </c>
      <c r="D12" s="7" t="inlineStr">
        <is>
          <t>$</t>
        </is>
      </c>
    </row>
    <row r="13">
      <c r="A13" s="26" t="inlineStr">
        <is>
          <t>LTV to CAC</t>
        </is>
      </c>
      <c r="B13" s="32">
        <f>IF(B10=0,"n/a",B12/B10)</f>
        <v/>
      </c>
      <c r="C13" s="32">
        <f>IF(C10=0,"n/a",C12/C10)</f>
        <v/>
      </c>
      <c r="D13" s="7" t="inlineStr">
        <is>
          <t>x</t>
        </is>
      </c>
    </row>
    <row r="14">
      <c r="A14" s="5" t="inlineStr">
        <is>
          <t>LLM cost per decision at off-peak rates</t>
        </is>
      </c>
      <c r="B14" s="33">
        <f>Assumptions!$B$11/2</f>
        <v/>
      </c>
      <c r="C14" s="33">
        <f>Assumptions!$C$11/2</f>
        <v/>
      </c>
      <c r="D14" s="7" t="inlineStr">
        <is>
          <t>$ / decision</t>
        </is>
      </c>
    </row>
    <row r="15">
      <c r="A15" s="2" t="n"/>
      <c r="B15" s="2" t="n"/>
      <c r="C15" s="2" t="n"/>
      <c r="D15" s="2" t="n"/>
    </row>
    <row r="16">
      <c r="A16" s="3" t="inlineStr">
        <is>
          <t>LTV = contribution margin / monthly churn. Payback = CAC / contribution margin.</t>
        </is>
      </c>
      <c r="B16" s="2" t="n"/>
      <c r="C16" s="2" t="n"/>
      <c r="D16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2026-10-10T21:43:02Z</dcterms:created>
  <dcterms:modified xmlns:dcterms="http://purl.org/dc/terms/" xmlns:xsi="http://www.w3.org/2001/XMLSchema-instance" xsi:type="dcterms:W3CDTF">2026-10-10T21:43:02Z</dcterms:modified>
</cp:coreProperties>
</file>