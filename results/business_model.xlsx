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_Estimate" sheetId="3" state="visible" r:id="rId3"/>
    <sheet xmlns:r="http://schemas.openxmlformats.org/officeDocument/2006/relationships" name="Model_Base" sheetId="4" state="visible" r:id="rId4"/>
    <sheet xmlns:r="http://schemas.openxmlformats.org/officeDocument/2006/relationships" name="Model_Growth" sheetId="5" state="visible" r:id="rId5"/>
    <sheet xmlns:r="http://schemas.openxmlformats.org/officeDocument/2006/relationships" name="Unit_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$0.000"/>
    <numFmt numFmtId="165" formatCode="$#,##0.00;($#,##0.00);&quot;-&quot;"/>
    <numFmt numFmtId="166" formatCode="#,##0;(#,##0);&quot;-&quot;"/>
    <numFmt numFmtId="167" formatCode="0.0%;(0.0%);&quot;-&quot;"/>
    <numFmt numFmtId="168" formatCode="$#,##0;($#,##0);&quot;-&quot;"/>
    <numFmt numFmtId="169" formatCode="0.0"/>
    <numFmt numFmtId="170" formatCode="$0.0000;($0.0000);&quot;-&quot;"/>
    <numFmt numFmtId="171" formatCode="0.00&quot;x&quot;"/>
    <numFmt numFmtId="172" formatCode="#,##0.0;(#,##0.0);&quot;-&quot;"/>
    <numFmt numFmtId="173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000000"/>
      <sz val="9"/>
    </font>
    <font>
      <name val="Arial"/>
      <color rgb="00000000"/>
      <sz val="9"/>
    </font>
    <font>
      <name val="Arial"/>
      <b val="1"/>
      <color rgb="00C00000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C00000"/>
      <sz val="13"/>
    </font>
    <font>
      <name val="Arial"/>
      <color rgb="00008000"/>
      <sz val="10"/>
    </font>
    <font>
      <name val="Arial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bottom style="thin">
        <color rgb="0099999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2" pivotButton="0" quotePrefix="0" xfId="0"/>
    <xf numFmtId="0" fontId="4" fillId="0" borderId="0" pivotButton="0" quotePrefix="0" xfId="0"/>
    <xf numFmtId="170" fontId="10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10" fillId="0" borderId="0" pivotButton="0" quotePrefix="0" xfId="0"/>
    <xf numFmtId="167" fontId="10" fillId="0" borderId="0" pivotButton="0" quotePrefix="0" xfId="0"/>
    <xf numFmtId="173" fontId="10" fillId="0" borderId="0" pivotButton="0" quotePrefix="0" xfId="0"/>
    <xf numFmtId="172" fontId="10" fillId="0" borderId="0" pivotButton="0" quotePrefix="0" xfId="0"/>
    <xf numFmtId="168" fontId="10" fillId="0" borderId="0" pivotButton="0" quotePrefix="0" xfId="0"/>
    <xf numFmtId="168" fontId="7" fillId="0" borderId="0" pivotButton="0" quotePrefix="0" xfId="0"/>
    <xf numFmtId="166" fontId="7" fillId="0" borderId="0" pivotButton="0" quotePrefix="0" xfId="0"/>
    <xf numFmtId="169" fontId="7" fillId="0" borderId="0" pivotButton="0" quotePrefix="0" xfId="0"/>
    <xf numFmtId="0" fontId="11" fillId="0" borderId="0" pivotButton="0" quotePrefix="0" xfId="0"/>
    <xf numFmtId="0" fontId="3" fillId="0" borderId="0" applyAlignment="1" pivotButton="0" quotePrefix="0" xfId="0">
      <alignment vertical="top" wrapText="1"/>
    </xf>
    <xf numFmtId="164" fontId="5" fillId="2" borderId="1" pivotButton="0" quotePrefix="0" xfId="0"/>
    <xf numFmtId="165" fontId="8" fillId="2" borderId="0" pivotButton="0" quotePrefix="0" xfId="0"/>
    <xf numFmtId="166" fontId="8" fillId="2" borderId="0" pivotButton="0" quotePrefix="0" xfId="0"/>
    <xf numFmtId="167" fontId="8" fillId="2" borderId="0" pivotButton="0" quotePrefix="0" xfId="0"/>
    <xf numFmtId="165" fontId="8" fillId="0" borderId="0" pivotButton="0" quotePrefix="0" xfId="0"/>
    <xf numFmtId="167" fontId="8" fillId="0" borderId="0" pivotButton="0" quotePrefix="0" xfId="0"/>
    <xf numFmtId="166" fontId="8" fillId="0" borderId="0" pivotButton="0" quotePrefix="0" xfId="0"/>
    <xf numFmtId="168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vertical="top" wrapText="1"/>
    </xf>
    <xf numFmtId="169" fontId="8" fillId="0" borderId="0" pivotButton="0" quotePrefix="0" xfId="0"/>
    <xf numFmtId="170" fontId="7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70" fontId="8" fillId="0" borderId="0" pivotButton="0" quotePrefix="0" xfId="0"/>
    <xf numFmtId="171" fontId="7" fillId="0" borderId="0" pivotButton="0" quotePrefix="0" xfId="0"/>
    <xf numFmtId="166" fontId="5" fillId="3" borderId="0" pivotButton="0" quotePrefix="0" xfId="0"/>
    <xf numFmtId="166" fontId="6" fillId="3" borderId="0" pivotButton="0" quotePrefix="0" xfId="0"/>
    <xf numFmtId="172" fontId="7" fillId="0" borderId="0" pivotButton="0" quotePrefix="0" xfId="0"/>
    <xf numFmtId="167" fontId="7" fillId="0" borderId="0" pivotButton="0" quotePrefix="0" xfId="0"/>
    <xf numFmtId="165" fontId="7" fillId="0" borderId="0" pivotButton="0" quotePrefix="0" xfId="0"/>
    <xf numFmtId="17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Strategy Auditor: business plan summary</t>
        </is>
      </c>
    </row>
    <row r="2">
      <c r="A2" s="2" t="inlineStr">
        <is>
          <t>Two scenarios over 12 months, priced per audit. Change inputs on the Assumptions sheet; everything here recalculates. LLM cost per audit is an ESTIMATE (Assumptions!B5) until M2 measures it.</t>
        </is>
      </c>
    </row>
    <row r="4">
      <c r="A4" s="3" t="inlineStr">
        <is>
          <t>Metric</t>
        </is>
      </c>
      <c r="B4" s="3" t="inlineStr">
        <is>
          <t>Base</t>
        </is>
      </c>
      <c r="C4" s="3" t="inlineStr">
        <is>
          <t>Growth</t>
        </is>
      </c>
      <c r="D4" s="3" t="inlineStr">
        <is>
          <t>Unit</t>
        </is>
      </c>
    </row>
    <row r="5">
      <c r="A5" s="4" t="inlineStr">
        <is>
          <t>LLM cost per audit (ESTIMATE, Assumptions!B5)</t>
        </is>
      </c>
      <c r="B5" s="5">
        <f>Assumptions!$B$5</f>
        <v/>
      </c>
      <c r="C5" s="5">
        <f>Assumptions!$B$5</f>
        <v/>
      </c>
      <c r="D5" s="6" t="inlineStr">
        <is>
          <t>$ / audit</t>
        </is>
      </c>
    </row>
    <row r="6">
      <c r="A6" s="7" t="inlineStr">
        <is>
          <t>Contribution per audit, pay per audit</t>
        </is>
      </c>
      <c r="B6" s="8">
        <f>Unit_Economics!B9</f>
        <v/>
      </c>
      <c r="C6" s="8">
        <f>Unit_Economics!C9</f>
        <v/>
      </c>
      <c r="D6" s="6" t="inlineStr">
        <is>
          <t>$ / audit</t>
        </is>
      </c>
    </row>
    <row r="7">
      <c r="A7" s="7" t="inlineStr">
        <is>
          <t>Gross margin per audit</t>
        </is>
      </c>
      <c r="B7" s="9">
        <f>Unit_Economics!B10</f>
        <v/>
      </c>
      <c r="C7" s="9">
        <f>Unit_Economics!C10</f>
        <v/>
      </c>
      <c r="D7" s="6" t="inlineStr">
        <is>
          <t>%</t>
        </is>
      </c>
    </row>
    <row r="8">
      <c r="A8" s="7" t="inlineStr">
        <is>
          <t>Contribution per hobbyist subscriber</t>
        </is>
      </c>
      <c r="B8" s="8">
        <f>Unit_Economics!B17</f>
        <v/>
      </c>
      <c r="C8" s="8">
        <f>Unit_Economics!C17</f>
        <v/>
      </c>
      <c r="D8" s="6" t="inlineStr">
        <is>
          <t>$ / month</t>
        </is>
      </c>
    </row>
    <row r="9">
      <c r="A9" s="7" t="inlineStr">
        <is>
          <t>Gross margin per subscriber</t>
        </is>
      </c>
      <c r="B9" s="9">
        <f>Unit_Economics!B18</f>
        <v/>
      </c>
      <c r="C9" s="9">
        <f>Unit_Economics!C18</f>
        <v/>
      </c>
      <c r="D9" s="6" t="inlineStr">
        <is>
          <t>%</t>
        </is>
      </c>
    </row>
    <row r="10">
      <c r="A10" s="7" t="inlineStr">
        <is>
          <t>LTV to CAC (blended)</t>
        </is>
      </c>
      <c r="B10" s="10">
        <f>Unit_Economics!B27</f>
        <v/>
      </c>
      <c r="C10" s="10">
        <f>Unit_Economics!C27</f>
        <v/>
      </c>
      <c r="D10" s="6" t="inlineStr">
        <is>
          <t>x</t>
        </is>
      </c>
    </row>
    <row r="11">
      <c r="A11" s="7" t="inlineStr">
        <is>
          <t>Paying users, month 6</t>
        </is>
      </c>
      <c r="B11" s="11">
        <f>Model_Base!H9</f>
        <v/>
      </c>
      <c r="C11" s="11">
        <f>Model_Growth!H9</f>
        <v/>
      </c>
      <c r="D11" s="6" t="inlineStr">
        <is>
          <t>users</t>
        </is>
      </c>
    </row>
    <row r="12">
      <c r="A12" s="7" t="inlineStr">
        <is>
          <t>Paying users, month 12</t>
        </is>
      </c>
      <c r="B12" s="11">
        <f>Model_Base!N9</f>
        <v/>
      </c>
      <c r="C12" s="11">
        <f>Model_Growth!N9</f>
        <v/>
      </c>
      <c r="D12" s="6" t="inlineStr">
        <is>
          <t>users</t>
        </is>
      </c>
    </row>
    <row r="13">
      <c r="A13" s="7" t="inlineStr">
        <is>
          <t>Audits run, month 12</t>
        </is>
      </c>
      <c r="B13" s="11">
        <f>Model_Base!N15</f>
        <v/>
      </c>
      <c r="C13" s="11">
        <f>Model_Growth!N15</f>
        <v/>
      </c>
      <c r="D13" s="6" t="inlineStr">
        <is>
          <t>audits</t>
        </is>
      </c>
    </row>
    <row r="14">
      <c r="A14" s="7" t="inlineStr">
        <is>
          <t>Revenue, month 12</t>
        </is>
      </c>
      <c r="B14" s="12">
        <f>Model_Base!N19</f>
        <v/>
      </c>
      <c r="C14" s="12">
        <f>Model_Growth!N19</f>
        <v/>
      </c>
      <c r="D14" s="6" t="inlineStr">
        <is>
          <t>$ / month</t>
        </is>
      </c>
    </row>
    <row r="15">
      <c r="A15" s="7" t="inlineStr">
        <is>
          <t>Gross margin, month 12</t>
        </is>
      </c>
      <c r="B15" s="9">
        <f>Model_Base!N24</f>
        <v/>
      </c>
      <c r="C15" s="9">
        <f>Model_Growth!N24</f>
        <v/>
      </c>
      <c r="D15" s="6" t="inlineStr">
        <is>
          <t>%</t>
        </is>
      </c>
    </row>
    <row r="16">
      <c r="A16" s="7" t="inlineStr">
        <is>
          <t>Revenue, months 1-12</t>
        </is>
      </c>
      <c r="B16" s="13">
        <f>SUM(Model_Base!C19:N19)</f>
        <v/>
      </c>
      <c r="C16" s="13">
        <f>SUM(Model_Growth!C19:N19)</f>
        <v/>
      </c>
      <c r="D16" s="6" t="inlineStr">
        <is>
          <t>$</t>
        </is>
      </c>
    </row>
    <row r="17">
      <c r="A17" s="7" t="inlineStr">
        <is>
          <t>LLM cost, months 1-12</t>
        </is>
      </c>
      <c r="B17" s="13">
        <f>SUM(Model_Base!C21:N21)</f>
        <v/>
      </c>
      <c r="C17" s="13">
        <f>SUM(Model_Growth!C21:N21)</f>
        <v/>
      </c>
      <c r="D17" s="6" t="inlineStr">
        <is>
          <t>$</t>
        </is>
      </c>
    </row>
    <row r="18">
      <c r="A18" s="7" t="inlineStr">
        <is>
          <t>Operating profit, months 1-12</t>
        </is>
      </c>
      <c r="B18" s="13">
        <f>SUM(Model_Base!C30:N30)</f>
        <v/>
      </c>
      <c r="C18" s="13">
        <f>SUM(Model_Growth!C30:N30)</f>
        <v/>
      </c>
      <c r="D18" s="6" t="inlineStr">
        <is>
          <t>$</t>
        </is>
      </c>
    </row>
    <row r="19">
      <c r="A19" s="7" t="inlineStr">
        <is>
          <t>Lowest cash balance</t>
        </is>
      </c>
      <c r="B19" s="13">
        <f>MIN(Model_Base!C33:N33)</f>
        <v/>
      </c>
      <c r="C19" s="13">
        <f>MIN(Model_Growth!C33:N33)</f>
        <v/>
      </c>
      <c r="D19" s="6" t="inlineStr">
        <is>
          <t>$</t>
        </is>
      </c>
    </row>
    <row r="20">
      <c r="A20" s="7" t="inlineStr">
        <is>
          <t>Cash, end of month 12</t>
        </is>
      </c>
      <c r="B20" s="12">
        <f>Model_Base!N33</f>
        <v/>
      </c>
      <c r="C20" s="12">
        <f>Model_Growth!N33</f>
        <v/>
      </c>
      <c r="D20" s="6" t="inlineStr">
        <is>
          <t>$</t>
        </is>
      </c>
    </row>
    <row r="21">
      <c r="A21" s="7" t="inlineStr">
        <is>
          <t>Runway: first month cash goes below zero</t>
        </is>
      </c>
      <c r="B21" s="14">
        <f>IF(SUM(Model_Base!C35:N35)=0,"none within 12 months",MATCH(1,Model_Base!C35:N35,0))</f>
        <v/>
      </c>
      <c r="C21" s="14">
        <f>IF(SUM(Model_Growth!C35:N35)=0,"none within 12 months",MATCH(1,Model_Growth!C35:N35,0))</f>
        <v/>
      </c>
      <c r="D21" s="6" t="inlineStr">
        <is>
          <t>month</t>
        </is>
      </c>
    </row>
    <row r="22">
      <c r="A22" s="7" t="inlineStr">
        <is>
          <t>Runway left after month 12 at that month's burn</t>
        </is>
      </c>
      <c r="B22" s="15">
        <f>IF(Model_Base!N30&gt;=0,"not burning cash",MAX(0,Model_Base!N33/-Model_Base!N30))</f>
        <v/>
      </c>
      <c r="C22" s="15">
        <f>IF(Model_Growth!N30&gt;=0,"not burning cash",MAX(0,Model_Growth!N33/-Model_Growth!N30))</f>
        <v/>
      </c>
      <c r="D22" s="6" t="inlineStr">
        <is>
          <t>months</t>
        </is>
      </c>
    </row>
    <row r="23">
      <c r="A23" s="7" t="inlineStr">
        <is>
          <t>Break-even: first month of operating profit</t>
        </is>
      </c>
      <c r="B23" s="14">
        <f>IF(SUM(Model_Base!C36:N36)=0,"not within 12 months",MATCH(1,Model_Base!C36:N36,0))</f>
        <v/>
      </c>
      <c r="C23" s="14">
        <f>IF(SUM(Model_Growth!C36:N36)=0,"not within 12 months",MATCH(1,Model_Growth!C36:N36,0))</f>
        <v/>
      </c>
      <c r="D23" s="6" t="inlineStr">
        <is>
          <t>month</t>
        </is>
      </c>
    </row>
    <row r="24">
      <c r="A24" s="7" t="inlineStr">
        <is>
          <t>Funding needed to never go below zero</t>
        </is>
      </c>
      <c r="B24" s="13">
        <f>MAX(0,-MIN(Model_Base!C33:N33))</f>
        <v/>
      </c>
      <c r="C24" s="13">
        <f>MAX(0,-MIN(Model_Growth!C33:N33))</f>
        <v/>
      </c>
      <c r="D24" s="6" t="inlineStr">
        <is>
          <t>$</t>
        </is>
      </c>
    </row>
    <row r="27">
      <c r="A27" s="16" t="inlineStr">
        <is>
          <t>How to read this:</t>
        </is>
      </c>
    </row>
    <row r="28">
      <c r="A28" s="6" t="inlineStr">
        <is>
          <t>- One audit = one trading idea in, one evidence-backed verdict out. Sold per audit ($2, in packs of 5) or as a hobbyist plan ($15/month, 20 audits): both are pricing hypotheses.</t>
        </is>
      </c>
    </row>
    <row r="29">
      <c r="A29" s="6" t="inlineStr">
        <is>
          <t>- LLM cost per audit is a bottom-up ESTIMATE from the code (Cost_Estimate sheet), at DeepSeek peak prices. It is replaced with the measured figure after M2.</t>
        </is>
      </c>
    </row>
    <row r="30">
      <c r="A30" s="6" t="inlineStr">
        <is>
          <t>- Variable cost is a few cents an audit, so margins are set by price and card fees; the plan is decided by users, churn, CAC and team cost (owner estimates, yellow on Assumptions).</t>
        </is>
      </c>
    </row>
    <row r="31">
      <c r="A31" s="6" t="inlineStr">
        <is>
          <t>- No fees or taxes beyond card processing are modeled. The auditor gives research verdicts, not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5" customWidth="1" min="4" max="4"/>
    <col width="90" customWidth="1" min="5" max="5"/>
  </cols>
  <sheetData>
    <row r="1">
      <c r="A1" s="1" t="inlineStr">
        <is>
          <t>Strategy Auditor: business model assumptions</t>
        </is>
      </c>
    </row>
    <row r="2">
      <c r="A2" s="2" t="inlineStr">
        <is>
          <t>Legend: blue = input you can change. Yellow = estimate or hypothesis to confirm (not measured). Black = formula. Green = link to another sheet. Column B feeds Model_Base, column C feeds Model_Growth.</t>
        </is>
      </c>
    </row>
    <row r="3" ht="40" customHeight="1">
      <c r="A3" s="17" t="inlineStr">
        <is>
          <t>Product: the Strategy Auditor, a paper-trading research tool. One audit = one trading idea in plain English, one evidence-backed verdict out (kill / inconclusive / promising / cannot audit), tested on 50 US large caps with historical data. Not financial advice. Sold two ways (pricing hypotheses): pay per audit, or a hobbyist plan with a monthly allowance of audits.</t>
        </is>
      </c>
    </row>
    <row r="5" ht="64" customHeight="1">
      <c r="A5" s="4" t="inlineStr">
        <is>
          <t>LLM cost per audit (USD): ESTIMATE</t>
        </is>
      </c>
      <c r="B5" s="18" t="n">
        <v>0.048</v>
      </c>
      <c r="C5" s="4" t="inlineStr">
        <is>
          <t>ESTIMATE</t>
        </is>
      </c>
      <c r="D5" s="6" t="inlineStr">
        <is>
          <t>$ / audit</t>
        </is>
      </c>
      <c r="E5" s="17" t="inlineStr">
        <is>
          <t>THE single cost variable; both scenarios and every sheet use it. Estimate, not measured: built bottom-up on the Cost_Estimate sheet (0.0476, rounded) from calls per audit, prompt sizes in src/auditor/agents.py and DeepSeek prices in src/llm.py (peak, cache-miss: an upper bound). After M2, type the measured mean cost per audit here: section '9. Cost and trace' of each demo report (cost.usd in state.json), or the neatlogs traces.</t>
        </is>
      </c>
    </row>
    <row r="7">
      <c r="A7" s="3" t="inlineStr">
        <is>
          <t>Assumption</t>
        </is>
      </c>
      <c r="B7" s="3" t="inlineStr">
        <is>
          <t>Base</t>
        </is>
      </c>
      <c r="C7" s="3" t="inlineStr">
        <is>
          <t>Growth</t>
        </is>
      </c>
      <c r="D7" s="3" t="inlineStr">
        <is>
          <t>Unit</t>
        </is>
      </c>
      <c r="E7" s="3" t="inlineStr">
        <is>
          <t>Source or note</t>
        </is>
      </c>
    </row>
    <row r="8" ht="15" customHeight="1">
      <c r="A8" s="7" t="inlineStr">
        <is>
          <t>Pay-per-audit price (HYPOTHESIS)</t>
        </is>
      </c>
      <c r="B8" s="19" t="n">
        <v>2</v>
      </c>
      <c r="C8" s="19" t="n">
        <v>2</v>
      </c>
      <c r="D8" s="6" t="inlineStr">
        <is>
          <t>$ / audit</t>
        </is>
      </c>
      <c r="E8" s="17" t="inlineStr">
        <is>
          <t>Pricing hypothesis, not tested with customers.</t>
        </is>
      </c>
    </row>
    <row r="9" ht="30" customHeight="1">
      <c r="A9" s="7" t="inlineStr">
        <is>
          <t>Audits bought per card charge (credit pack)</t>
        </is>
      </c>
      <c r="B9" s="20" t="n">
        <v>5</v>
      </c>
      <c r="C9" s="20" t="n">
        <v>5</v>
      </c>
      <c r="D9" s="6" t="inlineStr">
        <is>
          <t>audits / charge</t>
        </is>
      </c>
      <c r="E9" s="17" t="inlineStr">
        <is>
          <t>Hypothesis: audits sold in packs of 5 ($10). Charging every $2 audit separately would let Stripe's $0.30 fixed fee take 15% of revenue; a pack of 5 cuts it to 3%.</t>
        </is>
      </c>
    </row>
    <row r="10" ht="15" customHeight="1">
      <c r="A10" s="7" t="inlineStr">
        <is>
          <t>Hobbyist plan price (HYPOTHESIS)</t>
        </is>
      </c>
      <c r="B10" s="19" t="n">
        <v>15</v>
      </c>
      <c r="C10" s="19" t="n">
        <v>15</v>
      </c>
      <c r="D10" s="6" t="inlineStr">
        <is>
          <t>$ / month</t>
        </is>
      </c>
      <c r="E10" s="17" t="inlineStr">
        <is>
          <t>Pricing hypothesis, not tested with customers.</t>
        </is>
      </c>
    </row>
    <row r="11" ht="15" customHeight="1">
      <c r="A11" s="7" t="inlineStr">
        <is>
          <t>Audits included in the hobbyist plan</t>
        </is>
      </c>
      <c r="B11" s="20" t="n">
        <v>20</v>
      </c>
      <c r="C11" s="20" t="n">
        <v>20</v>
      </c>
      <c r="D11" s="6" t="inlineStr">
        <is>
          <t>audits / month</t>
        </is>
      </c>
      <c r="E11" s="17" t="inlineStr">
        <is>
          <t>Hypothesis. No overage is sold in this model.</t>
        </is>
      </c>
    </row>
    <row r="12" ht="30" customHeight="1">
      <c r="A12" s="7" t="inlineStr">
        <is>
          <t>Audits a subscriber runs per month</t>
        </is>
      </c>
      <c r="B12" s="20" t="n">
        <v>10</v>
      </c>
      <c r="C12" s="20" t="n">
        <v>10</v>
      </c>
      <c r="D12" s="6" t="inlineStr">
        <is>
          <t>audits / month</t>
        </is>
      </c>
      <c r="E12" s="17" t="inlineStr">
        <is>
          <t>Owner estimate. The plan beats pay-per-audit above 7.5 audits a month, so subscribers are the heavier users.</t>
        </is>
      </c>
    </row>
    <row r="13" ht="15" customHeight="1">
      <c r="A13" s="7" t="inlineStr">
        <is>
          <t>Audits a pay-per-audit user runs per month</t>
        </is>
      </c>
      <c r="B13" s="20" t="n">
        <v>3</v>
      </c>
      <c r="C13" s="20" t="n">
        <v>3</v>
      </c>
      <c r="D13" s="6" t="inlineStr">
        <is>
          <t>audits / month</t>
        </is>
      </c>
      <c r="E13" s="17" t="inlineStr">
        <is>
          <t>Owner estimate.</t>
        </is>
      </c>
    </row>
    <row r="14" ht="15" customHeight="1">
      <c r="A14" s="7" t="inlineStr">
        <is>
          <t>Share of users on the hobbyist plan</t>
        </is>
      </c>
      <c r="B14" s="21" t="n">
        <v>0.4</v>
      </c>
      <c r="C14" s="21" t="n">
        <v>0.4</v>
      </c>
      <c r="D14" s="6" t="inlineStr">
        <is>
          <t>%</t>
        </is>
      </c>
      <c r="E14" s="17" t="inlineStr">
        <is>
          <t>Owner estimate. The rest pay per audit.</t>
        </is>
      </c>
    </row>
    <row r="15" ht="30" customHeight="1">
      <c r="A15" s="7" t="inlineStr">
        <is>
          <t>Data cost per audit</t>
        </is>
      </c>
      <c r="B15" s="22" t="n">
        <v>0</v>
      </c>
      <c r="C15" s="22" t="n">
        <v>0</v>
      </c>
      <c r="D15" s="6" t="inlineStr">
        <is>
          <t>$ / audit</t>
        </is>
      </c>
      <c r="E15" s="17" t="inlineStr">
        <is>
          <t>Public data: Yahoo Finance prices and earnings dates, DoltHub options data (implied vol). Free; cached after the first fetch.</t>
        </is>
      </c>
    </row>
    <row r="16" ht="15" customHeight="1">
      <c r="A16" s="7" t="inlineStr">
        <is>
          <t>Payment fee, share of the charge</t>
        </is>
      </c>
      <c r="B16" s="23" t="n">
        <v>0.029</v>
      </c>
      <c r="C16" s="23" t="n">
        <v>0.029</v>
      </c>
      <c r="D16" s="6" t="inlineStr">
        <is>
          <t>%</t>
        </is>
      </c>
      <c r="E16" s="17" t="inlineStr">
        <is>
          <t>Stripe standard US card pricing: 2.9% + $0.30 per successful charge.</t>
        </is>
      </c>
    </row>
    <row r="17" ht="15" customHeight="1">
      <c r="A17" s="7" t="inlineStr">
        <is>
          <t>Payment fee, fixed per charge</t>
        </is>
      </c>
      <c r="B17" s="22" t="n">
        <v>0.3</v>
      </c>
      <c r="C17" s="22" t="n">
        <v>0.3</v>
      </c>
      <c r="D17" s="6" t="inlineStr">
        <is>
          <t>$ / charge</t>
        </is>
      </c>
      <c r="E17" s="17" t="inlineStr">
        <is>
          <t>Stripe standard US card pricing.</t>
        </is>
      </c>
    </row>
    <row r="18" ht="15" customHeight="1">
      <c r="A18" s="7" t="inlineStr">
        <is>
          <t>Paying users at start</t>
        </is>
      </c>
      <c r="B18" s="24" t="n">
        <v>0</v>
      </c>
      <c r="C18" s="24" t="n">
        <v>0</v>
      </c>
      <c r="D18" s="6" t="inlineStr">
        <is>
          <t>users</t>
        </is>
      </c>
      <c r="E18" s="17" t="inlineStr">
        <is>
          <t>Pre-launch.</t>
        </is>
      </c>
    </row>
    <row r="19" ht="30" customHeight="1">
      <c r="A19" s="7" t="inlineStr">
        <is>
          <t>New paying users in month 1</t>
        </is>
      </c>
      <c r="B19" s="20" t="n">
        <v>10</v>
      </c>
      <c r="C19" s="20" t="n">
        <v>25</v>
      </c>
      <c r="D19" s="6" t="inlineStr">
        <is>
          <t>users</t>
        </is>
      </c>
      <c r="E19" s="17" t="inlineStr">
        <is>
          <t>Owner estimate. Base: organic from build-in-public posts. Growth: plus paid acquisition.</t>
        </is>
      </c>
    </row>
    <row r="20" ht="15" customHeight="1">
      <c r="A20" s="7" t="inlineStr">
        <is>
          <t>Monthly growth in new users</t>
        </is>
      </c>
      <c r="B20" s="21" t="n">
        <v>0.05</v>
      </c>
      <c r="C20" s="21" t="n">
        <v>0.1</v>
      </c>
      <c r="D20" s="6" t="inlineStr">
        <is>
          <t>% / month</t>
        </is>
      </c>
      <c r="E20" s="17" t="inlineStr">
        <is>
          <t>Owner estimate.</t>
        </is>
      </c>
    </row>
    <row r="21" ht="30" customHeight="1">
      <c r="A21" s="7" t="inlineStr">
        <is>
          <t>Monthly churn</t>
        </is>
      </c>
      <c r="B21" s="21" t="n">
        <v>0.08</v>
      </c>
      <c r="C21" s="21" t="n">
        <v>0.06</v>
      </c>
      <c r="D21" s="6" t="inlineStr">
        <is>
          <t>% / month</t>
        </is>
      </c>
      <c r="E21" s="17" t="inlineStr">
        <is>
          <t>Owner estimate, typical range for consumer subscriptions. Applied to both kinds of user.</t>
        </is>
      </c>
    </row>
    <row r="22" ht="15" customHeight="1">
      <c r="A22" s="7" t="inlineStr">
        <is>
          <t>Acquisition cost per new user (CAC)</t>
        </is>
      </c>
      <c r="B22" s="25" t="n">
        <v>30</v>
      </c>
      <c r="C22" s="25" t="n">
        <v>40</v>
      </c>
      <c r="D22" s="6" t="inlineStr">
        <is>
          <t>$ / user</t>
        </is>
      </c>
      <c r="E22" s="17" t="inlineStr">
        <is>
          <t>Owner estimate. Growth spends more per user on paid channels.</t>
        </is>
      </c>
    </row>
    <row r="23" ht="30" customHeight="1">
      <c r="A23" s="7" t="inlineStr">
        <is>
          <t>Hosting per month</t>
        </is>
      </c>
      <c r="B23" s="25" t="n">
        <v>50</v>
      </c>
      <c r="C23" s="25" t="n">
        <v>50</v>
      </c>
      <c r="D23" s="6" t="inlineStr">
        <is>
          <t>$ / month</t>
        </is>
      </c>
      <c r="E23" s="17" t="inlineStr">
        <is>
          <t>Assumption: one small cloud VM (2 vCPU, 4 GB, about $25-50) for the web server and backtests, plus a domain. Backtests are code on cached data, so compute per audit is treated as part of this fixed cost.</t>
        </is>
      </c>
    </row>
    <row r="24" ht="15" customHeight="1">
      <c r="A24" s="7" t="inlineStr">
        <is>
          <t>neatlogs per month</t>
        </is>
      </c>
      <c r="B24" s="25" t="n">
        <v>0</v>
      </c>
      <c r="C24" s="25" t="n">
        <v>0</v>
      </c>
      <c r="D24" s="6" t="inlineStr">
        <is>
          <t>$ / month</t>
        </is>
      </c>
      <c r="E24" s="17" t="inlineStr">
        <is>
          <t>Placeholder: hackathon credits. Replace with the neatlogs plan price.</t>
        </is>
      </c>
    </row>
    <row r="25" ht="30" customHeight="1">
      <c r="A25" s="7" t="inlineStr">
        <is>
          <t>Team cost per month</t>
        </is>
      </c>
      <c r="B25" s="25" t="n">
        <v>2000</v>
      </c>
      <c r="C25" s="25" t="n">
        <v>6000</v>
      </c>
      <c r="D25" s="6" t="inlineStr">
        <is>
          <t>$ / month</t>
        </is>
      </c>
      <c r="E25" s="17" t="inlineStr">
        <is>
          <t>Owner estimate. Base: two part-time founders' stipend. Growth: adds one hire.</t>
        </is>
      </c>
    </row>
    <row r="26" ht="15" customHeight="1">
      <c r="A26" s="7" t="inlineStr">
        <is>
          <t>Starting cash</t>
        </is>
      </c>
      <c r="B26" s="25" t="n">
        <v>25000</v>
      </c>
      <c r="C26" s="25" t="n">
        <v>25000</v>
      </c>
      <c r="D26" s="6" t="inlineStr">
        <is>
          <t>$</t>
        </is>
      </c>
      <c r="E26" s="17" t="inlineStr">
        <is>
          <t>Owner estimate: founder-funded.</t>
        </is>
      </c>
    </row>
  </sheetData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1" customWidth="1" min="7" max="7"/>
    <col width="12" customWidth="1" min="8" max="8"/>
    <col width="12" customWidth="1" min="9" max="9"/>
    <col width="13" customWidth="1" min="10" max="10"/>
    <col width="70" customWidth="1" min="11" max="11"/>
  </cols>
  <sheetData>
    <row r="1">
      <c r="A1" s="26" t="inlineStr">
        <is>
          <t>LLM cost per audit: bottom-up ESTIMATE (not measured)</t>
        </is>
      </c>
    </row>
    <row r="2">
      <c r="A2" s="2" t="inlineStr">
        <is>
          <t>How Assumptions!B5 was estimated before any real audit ran (AUDITOR_SPEC sections 8 and 13). Replace Assumptions!B5 with the measured figure after M2; this sheet then documents the estimate.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or note</t>
        </is>
      </c>
    </row>
    <row r="5" ht="30" customHeight="1">
      <c r="A5" s="7" t="inlineStr">
        <is>
          <t>deepseek-v4-pro input price (Planner, Naysayer; thinking on)</t>
        </is>
      </c>
      <c r="B5" s="22" t="n">
        <v>1.32</v>
      </c>
      <c r="C5" s="6" t="inlineStr">
        <is>
          <t>$ / 1M tokens</t>
        </is>
      </c>
      <c r="D5" s="17" t="inlineStr">
        <is>
          <t>src/llm.py PRICES, read at build time. DeepSeek peak, cache-miss rates: an upper bound; off-peak is half.</t>
        </is>
      </c>
    </row>
    <row r="6" ht="30" customHeight="1">
      <c r="A6" s="7" t="inlineStr">
        <is>
          <t>deepseek-v4-pro output price (thinking tokens billed as output)</t>
        </is>
      </c>
      <c r="B6" s="22" t="n">
        <v>3.96</v>
      </c>
      <c r="C6" s="6" t="inlineStr">
        <is>
          <t>$ / 1M tokens</t>
        </is>
      </c>
      <c r="D6" s="17" t="inlineStr">
        <is>
          <t>src/llm.py PRICES.</t>
        </is>
      </c>
    </row>
    <row r="7" ht="30" customHeight="1">
      <c r="A7" s="7" t="inlineStr">
        <is>
          <t>deepseek-flash input price (Reporter; thinking off)</t>
        </is>
      </c>
      <c r="B7" s="22" t="n">
        <v>0.3</v>
      </c>
      <c r="C7" s="6" t="inlineStr">
        <is>
          <t>$ / 1M tokens</t>
        </is>
      </c>
      <c r="D7" s="17" t="inlineStr">
        <is>
          <t>src/llm.py PRICES.</t>
        </is>
      </c>
    </row>
    <row r="8" ht="30" customHeight="1">
      <c r="A8" s="7" t="inlineStr">
        <is>
          <t>deepseek-flash output price</t>
        </is>
      </c>
      <c r="B8" s="22" t="n">
        <v>1.2</v>
      </c>
      <c r="C8" s="6" t="inlineStr">
        <is>
          <t>$ / 1M tokens</t>
        </is>
      </c>
      <c r="D8" s="17" t="inlineStr">
        <is>
          <t>src/llm.py PRICES.</t>
        </is>
      </c>
    </row>
    <row r="9" ht="30" customHeight="1">
      <c r="A9" s="7" t="inlineStr">
        <is>
          <t>Characters per token</t>
        </is>
      </c>
      <c r="B9" s="24" t="n">
        <v>4</v>
      </c>
      <c r="C9" s="6" t="inlineStr">
        <is>
          <t>chars</t>
        </is>
      </c>
      <c r="D9" s="17" t="inlineStr">
        <is>
          <t>Rule of thumb for English and JSON.</t>
        </is>
      </c>
    </row>
    <row r="10" ht="30" customHeight="1">
      <c r="A10" s="7" t="inlineStr">
        <is>
          <t>Completion tokens per thinking call (thinking + JSON reply)</t>
        </is>
      </c>
      <c r="B10" s="20" t="n">
        <v>3000</v>
      </c>
      <c r="C10" s="6" t="inlineStr">
        <is>
          <t>tokens</t>
        </is>
      </c>
      <c r="D10" s="17" t="inlineStr">
        <is>
          <t>ASSUMPTION: reasoning_effort high, so most of it is thinking; plausible range 1,500-4,000. The swarm's measured cost implies about 3,900 (sanity check below), so the estimate leans low if anything.</t>
        </is>
      </c>
    </row>
    <row r="11" ht="30" customHeight="1">
      <c r="A11" s="7" t="inlineStr">
        <is>
          <t>Completion tokens per Reporter call</t>
        </is>
      </c>
      <c r="B11" s="20" t="n">
        <v>300</v>
      </c>
      <c r="C11" s="6" t="inlineStr">
        <is>
          <t>tokens</t>
        </is>
      </c>
      <c r="D11" s="17" t="inlineStr">
        <is>
          <t>ASSUMPTION: 2 to 5 sentences of prose in JSON.</t>
        </is>
      </c>
    </row>
    <row r="12" ht="30" customHeight="1">
      <c r="A12" s="7" t="inlineStr">
        <is>
          <t>Chance the first plan is invalid (one Planner fix call)</t>
        </is>
      </c>
      <c r="B12" s="21" t="n">
        <v>0.1</v>
      </c>
      <c r="C12" s="6" t="inlineStr">
        <is>
          <t>%</t>
        </is>
      </c>
      <c r="D12" s="17" t="inlineStr">
        <is>
          <t>ASSUMPTION. The validator rejects off-menu features, ranges or groups; DeepSeek JSON mode does not enforce the schema.</t>
        </is>
      </c>
    </row>
    <row r="13" ht="30" customHeight="1">
      <c r="A13" s="7" t="inlineStr">
        <is>
          <t>Retry and contingency uplift</t>
        </is>
      </c>
      <c r="B13" s="23" t="n">
        <v>0.1</v>
      </c>
      <c r="C13" s="6" t="inlineStr">
        <is>
          <t>%</t>
        </is>
      </c>
      <c r="D13" s="17" t="inlineStr">
        <is>
          <t>Empty or off-schema replies are retried once inside llm(); the retry's tokens are billed (spec section 8).</t>
        </is>
      </c>
    </row>
    <row r="16" ht="42" customHeight="1">
      <c r="A16" s="27" t="inlineStr">
        <is>
          <t>Call</t>
        </is>
      </c>
      <c r="B16" s="27" t="inlineStr">
        <is>
          <t>Agent</t>
        </is>
      </c>
      <c r="C16" s="27" t="inlineStr">
        <is>
          <t>Model</t>
        </is>
      </c>
      <c r="D16" s="27" t="inlineStr">
        <is>
          <t>Expected calls per audit</t>
        </is>
      </c>
      <c r="E16" s="27" t="inlineStr">
        <is>
          <t>System prompt + schema (chars)</t>
        </is>
      </c>
      <c r="F16" s="27" t="inlineStr">
        <is>
          <t>User prompt (chars)</t>
        </is>
      </c>
      <c r="G16" s="27" t="inlineStr">
        <is>
          <t>Prompt tokens</t>
        </is>
      </c>
      <c r="H16" s="27" t="inlineStr">
        <is>
          <t>Completion tokens</t>
        </is>
      </c>
      <c r="I16" s="27" t="inlineStr">
        <is>
          <t>Cost per call ($)</t>
        </is>
      </c>
      <c r="J16" s="27" t="inlineStr">
        <is>
          <t>Expected cost per audit ($)</t>
        </is>
      </c>
      <c r="K16" s="27" t="inlineStr">
        <is>
          <t>Where the prompt size comes from</t>
        </is>
      </c>
    </row>
    <row r="17" ht="40" customHeight="1">
      <c r="A17" s="7" t="inlineStr">
        <is>
          <t>Planner: idea to plan v0</t>
        </is>
      </c>
      <c r="B17" s="7" t="inlineStr">
        <is>
          <t>planner</t>
        </is>
      </c>
      <c r="C17" s="7" t="inlineStr">
        <is>
          <t>deepseek-v4-pro</t>
        </is>
      </c>
      <c r="D17" s="28" t="n">
        <v>1</v>
      </c>
      <c r="E17" s="24" t="n">
        <v>4818</v>
      </c>
      <c r="F17" s="24" t="n">
        <v>60</v>
      </c>
      <c r="G17" s="14">
        <f>(E17+F17)/$B$9</f>
        <v/>
      </c>
      <c r="H17" s="14">
        <f>$B$10</f>
        <v/>
      </c>
      <c r="I17" s="29">
        <f>G17*$B$5/1000000+H17*$B$6/1000000</f>
        <v/>
      </c>
      <c r="J17" s="29">
        <f>D17*I17</f>
        <v/>
      </c>
      <c r="K17" s="17" t="inlineStr">
        <is>
          <t>System: PLANNER_SYSTEM + plan schema, read at build time. User: the idea as JSON, 34-56 chars measured.</t>
        </is>
      </c>
    </row>
    <row r="18" ht="40" customHeight="1">
      <c r="A18" s="7" t="inlineStr">
        <is>
          <t>Planner: one fix after an invalid plan</t>
        </is>
      </c>
      <c r="B18" s="7" t="inlineStr">
        <is>
          <t>planner</t>
        </is>
      </c>
      <c r="C18" s="7" t="inlineStr">
        <is>
          <t>deepseek-v4-pro</t>
        </is>
      </c>
      <c r="D18" s="15">
        <f>$B$12</f>
        <v/>
      </c>
      <c r="E18" s="24" t="n">
        <v>4818</v>
      </c>
      <c r="F18" s="24" t="n">
        <v>300</v>
      </c>
      <c r="G18" s="14">
        <f>(E18+F18)/$B$9</f>
        <v/>
      </c>
      <c r="H18" s="14">
        <f>$B$10</f>
        <v/>
      </c>
      <c r="I18" s="29">
        <f>G18*$B$5/1000000+H18*$B$6/1000000</f>
        <v/>
      </c>
      <c r="J18" s="29">
        <f>D18*I18</f>
        <v/>
      </c>
      <c r="K18" s="17" t="inlineStr">
        <is>
          <t>Only when plan v0 fails validation (spec section 4). User: idea + validator message + instruction.</t>
        </is>
      </c>
    </row>
    <row r="19" ht="40" customHeight="1">
      <c r="A19" s="7" t="inlineStr">
        <is>
          <t>Naysayer call 1: doubts, choose follow-ups</t>
        </is>
      </c>
      <c r="B19" s="7" t="inlineStr">
        <is>
          <t>naysayer</t>
        </is>
      </c>
      <c r="C19" s="7" t="inlineStr">
        <is>
          <t>deepseek-v4-pro</t>
        </is>
      </c>
      <c r="D19" s="28" t="n">
        <v>1</v>
      </c>
      <c r="E19" s="24" t="n">
        <v>1824</v>
      </c>
      <c r="F19" s="24" t="n">
        <v>3300</v>
      </c>
      <c r="G19" s="14">
        <f>(E19+F19)/$B$9</f>
        <v/>
      </c>
      <c r="H19" s="14">
        <f>$B$10</f>
        <v/>
      </c>
      <c r="I19" s="29">
        <f>G19*$B$5/1000000+H19*$B$6/1000000</f>
        <v/>
      </c>
      <c r="J19" s="29">
        <f>D19*I19</f>
        <v/>
      </c>
      <c r="K19" s="17" t="inlineStr">
        <is>
          <t>System: NAYSAYER_FOLLOWUPS_SYSTEM (with the F1-F4 menu) + schema, read at build time. User: summary statistics, 2,502-3,262 chars measured.</t>
        </is>
      </c>
    </row>
    <row r="20" ht="40" customHeight="1">
      <c r="A20" s="7" t="inlineStr">
        <is>
          <t>Naysayer call 2: final critique</t>
        </is>
      </c>
      <c r="B20" s="7" t="inlineStr">
        <is>
          <t>naysayer</t>
        </is>
      </c>
      <c r="C20" s="7" t="inlineStr">
        <is>
          <t>deepseek-v4-pro</t>
        </is>
      </c>
      <c r="D20" s="28" t="n">
        <v>1</v>
      </c>
      <c r="E20" s="24" t="n">
        <v>926</v>
      </c>
      <c r="F20" s="24" t="n">
        <v>4500</v>
      </c>
      <c r="G20" s="14">
        <f>(E20+F20)/$B$9</f>
        <v/>
      </c>
      <c r="H20" s="14">
        <f>$B$10</f>
        <v/>
      </c>
      <c r="I20" s="29">
        <f>G20*$B$5/1000000+H20*$B$6/1000000</f>
        <v/>
      </c>
      <c r="J20" s="29">
        <f>D20*I20</f>
        <v/>
      </c>
      <c r="K20" s="17" t="inlineStr">
        <is>
          <t>System: NAYSAYER_SYSTEM + schema. User: summary statistics + follow-up results, 3,249-4,019 chars measured.</t>
        </is>
      </c>
    </row>
    <row r="21" ht="40" customHeight="1">
      <c r="A21" s="7" t="inlineStr">
        <is>
          <t>Reporter: prose on the code-written report</t>
        </is>
      </c>
      <c r="B21" s="7" t="inlineStr">
        <is>
          <t>reporter</t>
        </is>
      </c>
      <c r="C21" s="7" t="inlineStr">
        <is>
          <t>deepseek-flash</t>
        </is>
      </c>
      <c r="D21" s="28" t="n">
        <v>1</v>
      </c>
      <c r="E21" s="24" t="n">
        <v>699</v>
      </c>
      <c r="F21" s="24" t="n">
        <v>10000</v>
      </c>
      <c r="G21" s="14">
        <f>(E21+F21)/$B$9</f>
        <v/>
      </c>
      <c r="H21" s="14">
        <f>$B$11</f>
        <v/>
      </c>
      <c r="I21" s="29">
        <f>G21*$B$7/1000000+H21*$B$8/1000000</f>
        <v/>
      </c>
      <c r="J21" s="29">
        <f>D21*I21</f>
        <v/>
      </c>
      <c r="K21" s="17" t="inlineStr">
        <is>
          <t>The reserved 8th call, thinking off. User: the report draft, 6,164-7,831 chars measured on 3 synthetic years; real data has 13 year columns in the coverage table.</t>
        </is>
      </c>
    </row>
    <row r="22">
      <c r="A22" s="30" t="inlineStr">
        <is>
          <t>Total</t>
        </is>
      </c>
      <c r="D22" s="31">
        <f>SUM(D17:D21)</f>
        <v/>
      </c>
      <c r="J22" s="32">
        <f>SUM(J17:J21)</f>
        <v/>
      </c>
    </row>
    <row r="24">
      <c r="A24" s="7" t="inlineStr">
        <is>
          <t>Expected LLM calls per audit</t>
        </is>
      </c>
      <c r="B24" s="15">
        <f>D22</f>
        <v/>
      </c>
      <c r="C24" s="6" t="inlineStr">
        <is>
          <t>calls</t>
        </is>
      </c>
      <c r="D24" s="17" t="inlineStr">
        <is>
          <t>Spec section 4: Planner 1 (+1 only after an invalid plan), Naysayer 2, Reporter 1. Hard budget: 8 calls.</t>
        </is>
      </c>
    </row>
    <row r="25">
      <c r="A25" s="7" t="inlineStr">
        <is>
          <t>Cost per audit before uplift</t>
        </is>
      </c>
      <c r="B25" s="29">
        <f>J22</f>
        <v/>
      </c>
      <c r="C25" s="6" t="inlineStr">
        <is>
          <t>$ / audit</t>
        </is>
      </c>
      <c r="D25" s="17" t="inlineStr"/>
    </row>
    <row r="26">
      <c r="A26" s="4" t="inlineStr">
        <is>
          <t>Estimated LLM cost per audit (ESTIMATE)</t>
        </is>
      </c>
      <c r="B26" s="32">
        <f>B25*(1+B13)</f>
        <v/>
      </c>
      <c r="C26" s="6" t="inlineStr">
        <is>
          <t>$ / audit</t>
        </is>
      </c>
      <c r="D26" s="17" t="inlineStr">
        <is>
          <t>The bottom-up estimate. Rounded, it is the typed value of Assumptions!B5.</t>
        </is>
      </c>
    </row>
    <row r="27">
      <c r="A27" s="7" t="inlineStr">
        <is>
          <t>Assumptions!B5, the value the model uses</t>
        </is>
      </c>
      <c r="B27" s="5">
        <f>Assumptions!B5</f>
        <v/>
      </c>
      <c r="C27" s="6" t="inlineStr">
        <is>
          <t>$ / audit</t>
        </is>
      </c>
      <c r="D27" s="17" t="inlineStr">
        <is>
          <t>Green link. Holds this estimate until M2, then the measured figure.</t>
        </is>
      </c>
    </row>
    <row r="28">
      <c r="A28" s="7" t="inlineStr">
        <is>
          <t>Difference: model input minus this estimate</t>
        </is>
      </c>
      <c r="B28" s="29">
        <f>B27-B26</f>
        <v/>
      </c>
      <c r="C28" s="6" t="inlineStr">
        <is>
          <t>$ / audit</t>
        </is>
      </c>
      <c r="D28" s="17" t="inlineStr">
        <is>
          <t>Under $0.0005 while B5 is still the estimate (rounding).</t>
        </is>
      </c>
    </row>
    <row r="29">
      <c r="A29" s="7" t="inlineStr">
        <is>
          <t>Worst case: all 8 budgeted calls (7 thinking + Reporter)</t>
        </is>
      </c>
      <c r="B29" s="29">
        <f>(7*I17+I21)*(1+B13)</f>
        <v/>
      </c>
      <c r="C29" s="6" t="inlineStr">
        <is>
          <t>$ / audit</t>
        </is>
      </c>
      <c r="D29" s="17" t="inlineStr">
        <is>
          <t>Upper bound if every audit used the full budget.</t>
        </is>
      </c>
    </row>
    <row r="30">
      <c r="A30" s="7" t="inlineStr">
        <is>
          <t>Same estimate at DeepSeek off-peak rates (half price)</t>
        </is>
      </c>
      <c r="B30" s="29">
        <f>B26/2</f>
        <v/>
      </c>
      <c r="C30" s="6" t="inlineStr">
        <is>
          <t>$ / audit</t>
        </is>
      </c>
      <c r="D30" s="17" t="inlineStr"/>
    </row>
    <row r="32">
      <c r="A32" s="30" t="inlineStr">
        <is>
          <t>Sanity check: the trading swarm's measured cost</t>
        </is>
      </c>
    </row>
    <row r="33">
      <c r="A33" s="7" t="inlineStr">
        <is>
          <t>Swarm LLM cost per decision, measured (upper bound)</t>
        </is>
      </c>
      <c r="B33" s="33" t="n">
        <v>0.038</v>
      </c>
      <c r="C33" s="6" t="inlineStr">
        <is>
          <t>$ / decision</t>
        </is>
      </c>
      <c r="D33" s="17" t="inlineStr">
        <is>
          <t>results/README.md: $11.76 logged over 310 validation setups on 2026-10-10, DeepSeek peak cache-miss prices.</t>
        </is>
      </c>
    </row>
    <row r="34">
      <c r="A34" s="7" t="inlineStr">
        <is>
          <t>deepseek-v4-pro thinking calls per swarm decision</t>
        </is>
      </c>
      <c r="B34" s="24" t="n">
        <v>2</v>
      </c>
      <c r="C34" s="6" t="inlineStr">
        <is>
          <t>calls</t>
        </is>
      </c>
      <c r="D34" s="17" t="inlineStr">
        <is>
          <t>Two Planner rounds per setup (rounds = 2 on all 577 lines of results/swarm_validation.jsonl; Planner made 1,154 of ~1,760 calls, docs/SWARM_SPEC.md section 15). Same model and thinking settings as the auditor.</t>
        </is>
      </c>
    </row>
    <row r="35">
      <c r="A35" s="7" t="inlineStr">
        <is>
          <t>Implied cost per thinking call</t>
        </is>
      </c>
      <c r="B35" s="29">
        <f>B33/B34</f>
        <v/>
      </c>
      <c r="C35" s="6" t="inlineStr">
        <is>
          <t>$ / call</t>
        </is>
      </c>
      <c r="D35" s="17" t="inlineStr">
        <is>
          <t>Upper bound: treats the swarm's deepseek-flash Researcher call and rare Naysayer calls as free.</t>
        </is>
      </c>
    </row>
    <row r="36">
      <c r="A36" s="7" t="inlineStr">
        <is>
          <t>Bottom-up cost per thinking call (Planner row above)</t>
        </is>
      </c>
      <c r="B36" s="29">
        <f>I17</f>
        <v/>
      </c>
      <c r="C36" s="6" t="inlineStr">
        <is>
          <t>$ / call</t>
        </is>
      </c>
      <c r="D36" s="17" t="inlineStr"/>
    </row>
    <row r="37">
      <c r="A37" s="7" t="inlineStr">
        <is>
          <t>Thinking calls per audit</t>
        </is>
      </c>
      <c r="B37" s="15">
        <f>SUMIF(C17:C21,"deepseek-v4-pro",D17:D21)</f>
        <v/>
      </c>
      <c r="C37" s="6" t="inlineStr">
        <is>
          <t>calls</t>
        </is>
      </c>
      <c r="D37" s="17" t="inlineStr"/>
    </row>
    <row r="38">
      <c r="A38" s="7" t="inlineStr">
        <is>
          <t>Swarm-calibrated cost per audit</t>
        </is>
      </c>
      <c r="B38" s="29">
        <f>B37*B35+J21</f>
        <v/>
      </c>
      <c r="C38" s="6" t="inlineStr">
        <is>
          <t>$ / audit</t>
        </is>
      </c>
      <c r="D38" s="17" t="inlineStr">
        <is>
          <t>Thinking calls per audit x the swarm's implied cost per thinking call, + the Reporter call.</t>
        </is>
      </c>
    </row>
    <row r="39">
      <c r="A39" s="7" t="inlineStr">
        <is>
          <t>Bottom-up estimate as a share of the swarm-calibrated figure</t>
        </is>
      </c>
      <c r="B39" s="34">
        <f>B26/B38</f>
        <v/>
      </c>
      <c r="C39" s="6" t="inlineStr">
        <is>
          <t>x</t>
        </is>
      </c>
      <c r="D39" s="17" t="inlineStr">
        <is>
          <t>Below 1: the bottom-up estimate is lower than what the swarm's measured spend suggests. Same order of magnitude either way: a few cents per audit.</t>
        </is>
      </c>
    </row>
    <row r="41">
      <c r="A41" s="16" t="inlineStr">
        <is>
          <t>Notes</t>
        </is>
      </c>
    </row>
    <row r="42">
      <c r="A42" s="6" t="inlineStr">
        <is>
          <t>Calls follow the spec at M2 (section 4). M1 'before' runs make one Naysayer call (no follow-ups), so they should come in about one thinking call under this estimate. Update B5 from the M2 runs, as spec section 13 says.</t>
        </is>
      </c>
    </row>
    <row r="43">
      <c r="A43" s="6" t="inlineStr">
        <is>
          <t>System prompt sizes are read from src/auditor/agents.py when this workbook is built: the system text plus the JSON-schema suffix src/llm.py appends for DeepSeek.</t>
        </is>
      </c>
    </row>
    <row r="44">
      <c r="A44" s="6" t="inlineStr">
        <is>
          <t>User prompt sizes were measured on 2026-10-11 by running the audit loop with the fake LLM on the synthetic market of tests/test_auditor_run.py, extended to all 50 tickers, for the three demo ideas, then rounded up.</t>
        </is>
      </c>
    </row>
    <row r="45">
      <c r="A45" s="6" t="inlineStr">
        <is>
          <t>Data costs $0 (Yahoo Finance, DoltHub, both public). Hosting is a fixed monthly cost on Assumptions, not per audit.</t>
        </is>
      </c>
    </row>
    <row r="46">
      <c r="A46" s="6" t="inlineStr">
        <is>
          <t>To replace the estimate: type the mean measured cost per audit of the demo audits into Assumptions!B5. Source: section '9. Cost and trace' of each report.md (or cost.usd in state.json), cross-checked in neatlogs.</t>
        </is>
      </c>
    </row>
  </sheetData>
  <mergeCells count="23">
    <mergeCell ref="D28:J28"/>
    <mergeCell ref="D9:J9"/>
    <mergeCell ref="D12:J12"/>
    <mergeCell ref="D39:J39"/>
    <mergeCell ref="D8:J8"/>
    <mergeCell ref="D25:J25"/>
    <mergeCell ref="D24:J24"/>
    <mergeCell ref="D30:J30"/>
    <mergeCell ref="D33:J33"/>
    <mergeCell ref="D29:J29"/>
    <mergeCell ref="D5:J5"/>
    <mergeCell ref="D38:J38"/>
    <mergeCell ref="D26:J26"/>
    <mergeCell ref="D35:J35"/>
    <mergeCell ref="D34:J34"/>
    <mergeCell ref="D10:J10"/>
    <mergeCell ref="D36:J36"/>
    <mergeCell ref="D6:J6"/>
    <mergeCell ref="D13:J13"/>
    <mergeCell ref="D11:J11"/>
    <mergeCell ref="D27:J27"/>
    <mergeCell ref="D7:J7"/>
    <mergeCell ref="D37:J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Base scenario: monthly model (months 1-12)</t>
        </is>
      </c>
    </row>
    <row r="2">
      <c r="A2" s="2" t="inlineStr">
        <is>
          <t>All values in $ unless the unit column says otherwise. Inputs live on the Assumptions sheet, column B; LLM cost per audit is the single cell Assumptions!B5 (ESTIMATE).</t>
        </is>
      </c>
    </row>
    <row r="3">
      <c r="A3" s="30" t="inlineStr">
        <is>
          <t>Line</t>
        </is>
      </c>
      <c r="B3" s="30" t="inlineStr">
        <is>
          <t>Unit</t>
        </is>
      </c>
    </row>
    <row r="4">
      <c r="A4" s="7" t="inlineStr">
        <is>
          <t>Month</t>
        </is>
      </c>
      <c r="B4" s="6" t="inlineStr"/>
      <c r="C4" s="35" t="n">
        <v>1</v>
      </c>
      <c r="D4" s="36">
        <f>C4+1</f>
        <v/>
      </c>
      <c r="E4" s="36">
        <f>D4+1</f>
        <v/>
      </c>
      <c r="F4" s="36">
        <f>E4+1</f>
        <v/>
      </c>
      <c r="G4" s="36">
        <f>F4+1</f>
        <v/>
      </c>
      <c r="H4" s="36">
        <f>G4+1</f>
        <v/>
      </c>
      <c r="I4" s="36">
        <f>H4+1</f>
        <v/>
      </c>
      <c r="J4" s="36">
        <f>I4+1</f>
        <v/>
      </c>
      <c r="K4" s="36">
        <f>J4+1</f>
        <v/>
      </c>
      <c r="L4" s="36">
        <f>K4+1</f>
        <v/>
      </c>
      <c r="M4" s="36">
        <f>L4+1</f>
        <v/>
      </c>
      <c r="N4" s="36">
        <f>M4+1</f>
        <v/>
      </c>
    </row>
    <row r="6">
      <c r="A6" s="7" t="inlineStr">
        <is>
          <t>Paying users, start of month</t>
        </is>
      </c>
      <c r="B6" s="6" t="inlineStr">
        <is>
          <t>users</t>
        </is>
      </c>
      <c r="C6" s="11">
        <f>Assumptions!$B$18</f>
        <v/>
      </c>
      <c r="D6" s="37">
        <f>C9</f>
        <v/>
      </c>
      <c r="E6" s="37">
        <f>D9</f>
        <v/>
      </c>
      <c r="F6" s="37">
        <f>E9</f>
        <v/>
      </c>
      <c r="G6" s="37">
        <f>F9</f>
        <v/>
      </c>
      <c r="H6" s="37">
        <f>G9</f>
        <v/>
      </c>
      <c r="I6" s="37">
        <f>H9</f>
        <v/>
      </c>
      <c r="J6" s="37">
        <f>I9</f>
        <v/>
      </c>
      <c r="K6" s="37">
        <f>J9</f>
        <v/>
      </c>
      <c r="L6" s="37">
        <f>K9</f>
        <v/>
      </c>
      <c r="M6" s="37">
        <f>L9</f>
        <v/>
      </c>
      <c r="N6" s="37">
        <f>M9</f>
        <v/>
      </c>
    </row>
    <row r="7">
      <c r="A7" s="7" t="inlineStr">
        <is>
          <t>New users</t>
        </is>
      </c>
      <c r="B7" s="6" t="inlineStr">
        <is>
          <t>users</t>
        </is>
      </c>
      <c r="C7" s="11">
        <f>Assumptions!$B$19*(1+Assumptions!$B$20)^(C4-1)</f>
        <v/>
      </c>
      <c r="D7" s="11">
        <f>Assumptions!$B$19*(1+Assumptions!$B$20)^(D4-1)</f>
        <v/>
      </c>
      <c r="E7" s="11">
        <f>Assumptions!$B$19*(1+Assumptions!$B$20)^(E4-1)</f>
        <v/>
      </c>
      <c r="F7" s="11">
        <f>Assumptions!$B$19*(1+Assumptions!$B$20)^(F4-1)</f>
        <v/>
      </c>
      <c r="G7" s="11">
        <f>Assumptions!$B$19*(1+Assumptions!$B$20)^(G4-1)</f>
        <v/>
      </c>
      <c r="H7" s="11">
        <f>Assumptions!$B$19*(1+Assumptions!$B$20)^(H4-1)</f>
        <v/>
      </c>
      <c r="I7" s="11">
        <f>Assumptions!$B$19*(1+Assumptions!$B$20)^(I4-1)</f>
        <v/>
      </c>
      <c r="J7" s="11">
        <f>Assumptions!$B$19*(1+Assumptions!$B$20)^(J4-1)</f>
        <v/>
      </c>
      <c r="K7" s="11">
        <f>Assumptions!$B$19*(1+Assumptions!$B$20)^(K4-1)</f>
        <v/>
      </c>
      <c r="L7" s="11">
        <f>Assumptions!$B$19*(1+Assumptions!$B$20)^(L4-1)</f>
        <v/>
      </c>
      <c r="M7" s="11">
        <f>Assumptions!$B$19*(1+Assumptions!$B$20)^(M4-1)</f>
        <v/>
      </c>
      <c r="N7" s="11">
        <f>Assumptions!$B$19*(1+Assumptions!$B$20)^(N4-1)</f>
        <v/>
      </c>
    </row>
    <row r="8">
      <c r="A8" s="7" t="inlineStr">
        <is>
          <t>Churned users</t>
        </is>
      </c>
      <c r="B8" s="6" t="inlineStr">
        <is>
          <t>users</t>
        </is>
      </c>
      <c r="C8" s="37">
        <f>C6*Assumptions!$B$21</f>
        <v/>
      </c>
      <c r="D8" s="37">
        <f>D6*Assumptions!$B$21</f>
        <v/>
      </c>
      <c r="E8" s="37">
        <f>E6*Assumptions!$B$21</f>
        <v/>
      </c>
      <c r="F8" s="37">
        <f>F6*Assumptions!$B$21</f>
        <v/>
      </c>
      <c r="G8" s="37">
        <f>G6*Assumptions!$B$21</f>
        <v/>
      </c>
      <c r="H8" s="37">
        <f>H6*Assumptions!$B$21</f>
        <v/>
      </c>
      <c r="I8" s="37">
        <f>I6*Assumptions!$B$21</f>
        <v/>
      </c>
      <c r="J8" s="37">
        <f>J6*Assumptions!$B$21</f>
        <v/>
      </c>
      <c r="K8" s="37">
        <f>K6*Assumptions!$B$21</f>
        <v/>
      </c>
      <c r="L8" s="37">
        <f>L6*Assumptions!$B$21</f>
        <v/>
      </c>
      <c r="M8" s="37">
        <f>M6*Assumptions!$B$21</f>
        <v/>
      </c>
      <c r="N8" s="37">
        <f>N6*Assumptions!$B$21</f>
        <v/>
      </c>
    </row>
    <row r="9">
      <c r="A9" s="30" t="inlineStr">
        <is>
          <t>Paying users, end of month</t>
        </is>
      </c>
      <c r="B9" s="6" t="inlineStr">
        <is>
          <t>users</t>
        </is>
      </c>
      <c r="C9" s="37">
        <f>C6+C7-C8</f>
        <v/>
      </c>
      <c r="D9" s="37">
        <f>D6+D7-D8</f>
        <v/>
      </c>
      <c r="E9" s="37">
        <f>E6+E7-E8</f>
        <v/>
      </c>
      <c r="F9" s="37">
        <f>F6+F7-F8</f>
        <v/>
      </c>
      <c r="G9" s="37">
        <f>G6+G7-G8</f>
        <v/>
      </c>
      <c r="H9" s="37">
        <f>H6+H7-H8</f>
        <v/>
      </c>
      <c r="I9" s="37">
        <f>I6+I7-I8</f>
        <v/>
      </c>
      <c r="J9" s="37">
        <f>J6+J7-J8</f>
        <v/>
      </c>
      <c r="K9" s="37">
        <f>K6+K7-K8</f>
        <v/>
      </c>
      <c r="L9" s="37">
        <f>L6+L7-L8</f>
        <v/>
      </c>
      <c r="M9" s="37">
        <f>M6+M7-M8</f>
        <v/>
      </c>
      <c r="N9" s="37">
        <f>N6+N7-N8</f>
        <v/>
      </c>
    </row>
    <row r="10">
      <c r="A10" s="7" t="inlineStr">
        <is>
          <t xml:space="preserve">  on the hobbyist plan</t>
        </is>
      </c>
      <c r="B10" s="6" t="inlineStr">
        <is>
          <t>users</t>
        </is>
      </c>
      <c r="C10" s="37">
        <f>C9*Assumptions!$B$14</f>
        <v/>
      </c>
      <c r="D10" s="37">
        <f>D9*Assumptions!$B$14</f>
        <v/>
      </c>
      <c r="E10" s="37">
        <f>E9*Assumptions!$B$14</f>
        <v/>
      </c>
      <c r="F10" s="37">
        <f>F9*Assumptions!$B$14</f>
        <v/>
      </c>
      <c r="G10" s="37">
        <f>G9*Assumptions!$B$14</f>
        <v/>
      </c>
      <c r="H10" s="37">
        <f>H9*Assumptions!$B$14</f>
        <v/>
      </c>
      <c r="I10" s="37">
        <f>I9*Assumptions!$B$14</f>
        <v/>
      </c>
      <c r="J10" s="37">
        <f>J9*Assumptions!$B$14</f>
        <v/>
      </c>
      <c r="K10" s="37">
        <f>K9*Assumptions!$B$14</f>
        <v/>
      </c>
      <c r="L10" s="37">
        <f>L9*Assumptions!$B$14</f>
        <v/>
      </c>
      <c r="M10" s="37">
        <f>M9*Assumptions!$B$14</f>
        <v/>
      </c>
      <c r="N10" s="37">
        <f>N9*Assumptions!$B$14</f>
        <v/>
      </c>
    </row>
    <row r="11">
      <c r="A11" s="7" t="inlineStr">
        <is>
          <t xml:space="preserve">  paying per audit</t>
        </is>
      </c>
      <c r="B11" s="6" t="inlineStr">
        <is>
          <t>users</t>
        </is>
      </c>
      <c r="C11" s="37">
        <f>C9-C10</f>
        <v/>
      </c>
      <c r="D11" s="37">
        <f>D9-D10</f>
        <v/>
      </c>
      <c r="E11" s="37">
        <f>E9-E10</f>
        <v/>
      </c>
      <c r="F11" s="37">
        <f>F9-F10</f>
        <v/>
      </c>
      <c r="G11" s="37">
        <f>G9-G10</f>
        <v/>
      </c>
      <c r="H11" s="37">
        <f>H9-H10</f>
        <v/>
      </c>
      <c r="I11" s="37">
        <f>I9-I10</f>
        <v/>
      </c>
      <c r="J11" s="37">
        <f>J9-J10</f>
        <v/>
      </c>
      <c r="K11" s="37">
        <f>K9-K10</f>
        <v/>
      </c>
      <c r="L11" s="37">
        <f>L9-L10</f>
        <v/>
      </c>
      <c r="M11" s="37">
        <f>M9-M10</f>
        <v/>
      </c>
      <c r="N11" s="37">
        <f>N9-N10</f>
        <v/>
      </c>
    </row>
    <row r="13">
      <c r="A13" s="7" t="inlineStr">
        <is>
          <t>Audits run by subscribers</t>
        </is>
      </c>
      <c r="B13" s="6" t="inlineStr">
        <is>
          <t>audits</t>
        </is>
      </c>
      <c r="C13" s="37">
        <f>C10*Assumptions!$B$12</f>
        <v/>
      </c>
      <c r="D13" s="37">
        <f>D10*Assumptions!$B$12</f>
        <v/>
      </c>
      <c r="E13" s="37">
        <f>E10*Assumptions!$B$12</f>
        <v/>
      </c>
      <c r="F13" s="37">
        <f>F10*Assumptions!$B$12</f>
        <v/>
      </c>
      <c r="G13" s="37">
        <f>G10*Assumptions!$B$12</f>
        <v/>
      </c>
      <c r="H13" s="37">
        <f>H10*Assumptions!$B$12</f>
        <v/>
      </c>
      <c r="I13" s="37">
        <f>I10*Assumptions!$B$12</f>
        <v/>
      </c>
      <c r="J13" s="37">
        <f>J10*Assumptions!$B$12</f>
        <v/>
      </c>
      <c r="K13" s="37">
        <f>K10*Assumptions!$B$12</f>
        <v/>
      </c>
      <c r="L13" s="37">
        <f>L10*Assumptions!$B$12</f>
        <v/>
      </c>
      <c r="M13" s="37">
        <f>M10*Assumptions!$B$12</f>
        <v/>
      </c>
      <c r="N13" s="37">
        <f>N10*Assumptions!$B$12</f>
        <v/>
      </c>
    </row>
    <row r="14">
      <c r="A14" s="7" t="inlineStr">
        <is>
          <t>Audits bought per audit</t>
        </is>
      </c>
      <c r="B14" s="6" t="inlineStr">
        <is>
          <t>audits</t>
        </is>
      </c>
      <c r="C14" s="37">
        <f>C11*Assumptions!$B$13</f>
        <v/>
      </c>
      <c r="D14" s="37">
        <f>D11*Assumptions!$B$13</f>
        <v/>
      </c>
      <c r="E14" s="37">
        <f>E11*Assumptions!$B$13</f>
        <v/>
      </c>
      <c r="F14" s="37">
        <f>F11*Assumptions!$B$13</f>
        <v/>
      </c>
      <c r="G14" s="37">
        <f>G11*Assumptions!$B$13</f>
        <v/>
      </c>
      <c r="H14" s="37">
        <f>H11*Assumptions!$B$13</f>
        <v/>
      </c>
      <c r="I14" s="37">
        <f>I11*Assumptions!$B$13</f>
        <v/>
      </c>
      <c r="J14" s="37">
        <f>J11*Assumptions!$B$13</f>
        <v/>
      </c>
      <c r="K14" s="37">
        <f>K11*Assumptions!$B$13</f>
        <v/>
      </c>
      <c r="L14" s="37">
        <f>L11*Assumptions!$B$13</f>
        <v/>
      </c>
      <c r="M14" s="37">
        <f>M11*Assumptions!$B$13</f>
        <v/>
      </c>
      <c r="N14" s="37">
        <f>N11*Assumptions!$B$13</f>
        <v/>
      </c>
    </row>
    <row r="15">
      <c r="A15" s="30" t="inlineStr">
        <is>
          <t>Audits run</t>
        </is>
      </c>
      <c r="B15" s="6" t="inlineStr">
        <is>
          <t>audits</t>
        </is>
      </c>
      <c r="C15" s="37">
        <f>C13+C14</f>
        <v/>
      </c>
      <c r="D15" s="37">
        <f>D13+D14</f>
        <v/>
      </c>
      <c r="E15" s="37">
        <f>E13+E14</f>
        <v/>
      </c>
      <c r="F15" s="37">
        <f>F13+F14</f>
        <v/>
      </c>
      <c r="G15" s="37">
        <f>G13+G14</f>
        <v/>
      </c>
      <c r="H15" s="37">
        <f>H13+H14</f>
        <v/>
      </c>
      <c r="I15" s="37">
        <f>I13+I14</f>
        <v/>
      </c>
      <c r="J15" s="37">
        <f>J13+J14</f>
        <v/>
      </c>
      <c r="K15" s="37">
        <f>K13+K14</f>
        <v/>
      </c>
      <c r="L15" s="37">
        <f>L13+L14</f>
        <v/>
      </c>
      <c r="M15" s="37">
        <f>M13+M14</f>
        <v/>
      </c>
      <c r="N15" s="37">
        <f>N13+N14</f>
        <v/>
      </c>
    </row>
    <row r="17">
      <c r="A17" s="7" t="inlineStr">
        <is>
          <t>Revenue: hobbyist plan</t>
        </is>
      </c>
      <c r="B17" s="6" t="inlineStr">
        <is>
          <t>$</t>
        </is>
      </c>
      <c r="C17" s="13">
        <f>C10*Assumptions!$B$10</f>
        <v/>
      </c>
      <c r="D17" s="13">
        <f>D10*Assumptions!$B$10</f>
        <v/>
      </c>
      <c r="E17" s="13">
        <f>E10*Assumptions!$B$10</f>
        <v/>
      </c>
      <c r="F17" s="13">
        <f>F10*Assumptions!$B$10</f>
        <v/>
      </c>
      <c r="G17" s="13">
        <f>G10*Assumptions!$B$10</f>
        <v/>
      </c>
      <c r="H17" s="13">
        <f>H10*Assumptions!$B$10</f>
        <v/>
      </c>
      <c r="I17" s="13">
        <f>I10*Assumptions!$B$10</f>
        <v/>
      </c>
      <c r="J17" s="13">
        <f>J10*Assumptions!$B$10</f>
        <v/>
      </c>
      <c r="K17" s="13">
        <f>K10*Assumptions!$B$10</f>
        <v/>
      </c>
      <c r="L17" s="13">
        <f>L10*Assumptions!$B$10</f>
        <v/>
      </c>
      <c r="M17" s="13">
        <f>M10*Assumptions!$B$10</f>
        <v/>
      </c>
      <c r="N17" s="13">
        <f>N10*Assumptions!$B$10</f>
        <v/>
      </c>
    </row>
    <row r="18">
      <c r="A18" s="7" t="inlineStr">
        <is>
          <t>Revenue: pay per audit</t>
        </is>
      </c>
      <c r="B18" s="6" t="inlineStr">
        <is>
          <t>$</t>
        </is>
      </c>
      <c r="C18" s="13">
        <f>C14*Assumptions!$B$8</f>
        <v/>
      </c>
      <c r="D18" s="13">
        <f>D14*Assumptions!$B$8</f>
        <v/>
      </c>
      <c r="E18" s="13">
        <f>E14*Assumptions!$B$8</f>
        <v/>
      </c>
      <c r="F18" s="13">
        <f>F14*Assumptions!$B$8</f>
        <v/>
      </c>
      <c r="G18" s="13">
        <f>G14*Assumptions!$B$8</f>
        <v/>
      </c>
      <c r="H18" s="13">
        <f>H14*Assumptions!$B$8</f>
        <v/>
      </c>
      <c r="I18" s="13">
        <f>I14*Assumptions!$B$8</f>
        <v/>
      </c>
      <c r="J18" s="13">
        <f>J14*Assumptions!$B$8</f>
        <v/>
      </c>
      <c r="K18" s="13">
        <f>K14*Assumptions!$B$8</f>
        <v/>
      </c>
      <c r="L18" s="13">
        <f>L14*Assumptions!$B$8</f>
        <v/>
      </c>
      <c r="M18" s="13">
        <f>M14*Assumptions!$B$8</f>
        <v/>
      </c>
      <c r="N18" s="13">
        <f>N14*Assumptions!$B$8</f>
        <v/>
      </c>
    </row>
    <row r="19">
      <c r="A19" s="30" t="inlineStr">
        <is>
          <t>Revenue</t>
        </is>
      </c>
      <c r="B19" s="6" t="inlineStr">
        <is>
          <t>$</t>
        </is>
      </c>
      <c r="C19" s="13">
        <f>C17+C18</f>
        <v/>
      </c>
      <c r="D19" s="13">
        <f>D17+D18</f>
        <v/>
      </c>
      <c r="E19" s="13">
        <f>E17+E18</f>
        <v/>
      </c>
      <c r="F19" s="13">
        <f>F17+F18</f>
        <v/>
      </c>
      <c r="G19" s="13">
        <f>G17+G18</f>
        <v/>
      </c>
      <c r="H19" s="13">
        <f>H17+H18</f>
        <v/>
      </c>
      <c r="I19" s="13">
        <f>I17+I18</f>
        <v/>
      </c>
      <c r="J19" s="13">
        <f>J17+J18</f>
        <v/>
      </c>
      <c r="K19" s="13">
        <f>K17+K18</f>
        <v/>
      </c>
      <c r="L19" s="13">
        <f>L17+L18</f>
        <v/>
      </c>
      <c r="M19" s="13">
        <f>M17+M18</f>
        <v/>
      </c>
      <c r="N19" s="13">
        <f>N17+N18</f>
        <v/>
      </c>
    </row>
    <row r="20">
      <c r="A20" s="7" t="inlineStr">
        <is>
          <t>Payment fees</t>
        </is>
      </c>
      <c r="B20" s="6" t="inlineStr">
        <is>
          <t>$</t>
        </is>
      </c>
      <c r="C20" s="13">
        <f>C10*(Assumptions!$B$10*Assumptions!$B$16+Assumptions!$B$17)+C14*(Assumptions!$B$8*Assumptions!$B$16+Assumptions!$B$17/Assumptions!$B$9)</f>
        <v/>
      </c>
      <c r="D20" s="13">
        <f>D10*(Assumptions!$B$10*Assumptions!$B$16+Assumptions!$B$17)+D14*(Assumptions!$B$8*Assumptions!$B$16+Assumptions!$B$17/Assumptions!$B$9)</f>
        <v/>
      </c>
      <c r="E20" s="13">
        <f>E10*(Assumptions!$B$10*Assumptions!$B$16+Assumptions!$B$17)+E14*(Assumptions!$B$8*Assumptions!$B$16+Assumptions!$B$17/Assumptions!$B$9)</f>
        <v/>
      </c>
      <c r="F20" s="13">
        <f>F10*(Assumptions!$B$10*Assumptions!$B$16+Assumptions!$B$17)+F14*(Assumptions!$B$8*Assumptions!$B$16+Assumptions!$B$17/Assumptions!$B$9)</f>
        <v/>
      </c>
      <c r="G20" s="13">
        <f>G10*(Assumptions!$B$10*Assumptions!$B$16+Assumptions!$B$17)+G14*(Assumptions!$B$8*Assumptions!$B$16+Assumptions!$B$17/Assumptions!$B$9)</f>
        <v/>
      </c>
      <c r="H20" s="13">
        <f>H10*(Assumptions!$B$10*Assumptions!$B$16+Assumptions!$B$17)+H14*(Assumptions!$B$8*Assumptions!$B$16+Assumptions!$B$17/Assumptions!$B$9)</f>
        <v/>
      </c>
      <c r="I20" s="13">
        <f>I10*(Assumptions!$B$10*Assumptions!$B$16+Assumptions!$B$17)+I14*(Assumptions!$B$8*Assumptions!$B$16+Assumptions!$B$17/Assumptions!$B$9)</f>
        <v/>
      </c>
      <c r="J20" s="13">
        <f>J10*(Assumptions!$B$10*Assumptions!$B$16+Assumptions!$B$17)+J14*(Assumptions!$B$8*Assumptions!$B$16+Assumptions!$B$17/Assumptions!$B$9)</f>
        <v/>
      </c>
      <c r="K20" s="13">
        <f>K10*(Assumptions!$B$10*Assumptions!$B$16+Assumptions!$B$17)+K14*(Assumptions!$B$8*Assumptions!$B$16+Assumptions!$B$17/Assumptions!$B$9)</f>
        <v/>
      </c>
      <c r="L20" s="13">
        <f>L10*(Assumptions!$B$10*Assumptions!$B$16+Assumptions!$B$17)+L14*(Assumptions!$B$8*Assumptions!$B$16+Assumptions!$B$17/Assumptions!$B$9)</f>
        <v/>
      </c>
      <c r="M20" s="13">
        <f>M10*(Assumptions!$B$10*Assumptions!$B$16+Assumptions!$B$17)+M14*(Assumptions!$B$8*Assumptions!$B$16+Assumptions!$B$17/Assumptions!$B$9)</f>
        <v/>
      </c>
      <c r="N20" s="13">
        <f>N10*(Assumptions!$B$10*Assumptions!$B$16+Assumptions!$B$17)+N14*(Assumptions!$B$8*Assumptions!$B$16+Assumptions!$B$17/Assumptions!$B$9)</f>
        <v/>
      </c>
    </row>
    <row r="21">
      <c r="A21" s="7" t="inlineStr">
        <is>
          <t>LLM inference (audits x cost per audit)</t>
        </is>
      </c>
      <c r="B21" s="6" t="inlineStr">
        <is>
          <t>$</t>
        </is>
      </c>
      <c r="C21" s="13">
        <f>C15*Assumptions!$B$5</f>
        <v/>
      </c>
      <c r="D21" s="13">
        <f>D15*Assumptions!$B$5</f>
        <v/>
      </c>
      <c r="E21" s="13">
        <f>E15*Assumptions!$B$5</f>
        <v/>
      </c>
      <c r="F21" s="13">
        <f>F15*Assumptions!$B$5</f>
        <v/>
      </c>
      <c r="G21" s="13">
        <f>G15*Assumptions!$B$5</f>
        <v/>
      </c>
      <c r="H21" s="13">
        <f>H15*Assumptions!$B$5</f>
        <v/>
      </c>
      <c r="I21" s="13">
        <f>I15*Assumptions!$B$5</f>
        <v/>
      </c>
      <c r="J21" s="13">
        <f>J15*Assumptions!$B$5</f>
        <v/>
      </c>
      <c r="K21" s="13">
        <f>K15*Assumptions!$B$5</f>
        <v/>
      </c>
      <c r="L21" s="13">
        <f>L15*Assumptions!$B$5</f>
        <v/>
      </c>
      <c r="M21" s="13">
        <f>M15*Assumptions!$B$5</f>
        <v/>
      </c>
      <c r="N21" s="13">
        <f>N15*Assumptions!$B$5</f>
        <v/>
      </c>
    </row>
    <row r="22">
      <c r="A22" s="7" t="inlineStr">
        <is>
          <t>Data (audits x data cost per audit)</t>
        </is>
      </c>
      <c r="B22" s="6" t="inlineStr">
        <is>
          <t>$</t>
        </is>
      </c>
      <c r="C22" s="13">
        <f>C15*Assumptions!$B$15</f>
        <v/>
      </c>
      <c r="D22" s="13">
        <f>D15*Assumptions!$B$15</f>
        <v/>
      </c>
      <c r="E22" s="13">
        <f>E15*Assumptions!$B$15</f>
        <v/>
      </c>
      <c r="F22" s="13">
        <f>F15*Assumptions!$B$15</f>
        <v/>
      </c>
      <c r="G22" s="13">
        <f>G15*Assumptions!$B$15</f>
        <v/>
      </c>
      <c r="H22" s="13">
        <f>H15*Assumptions!$B$15</f>
        <v/>
      </c>
      <c r="I22" s="13">
        <f>I15*Assumptions!$B$15</f>
        <v/>
      </c>
      <c r="J22" s="13">
        <f>J15*Assumptions!$B$15</f>
        <v/>
      </c>
      <c r="K22" s="13">
        <f>K15*Assumptions!$B$15</f>
        <v/>
      </c>
      <c r="L22" s="13">
        <f>L15*Assumptions!$B$15</f>
        <v/>
      </c>
      <c r="M22" s="13">
        <f>M15*Assumptions!$B$15</f>
        <v/>
      </c>
      <c r="N22" s="13">
        <f>N15*Assumptions!$B$15</f>
        <v/>
      </c>
    </row>
    <row r="23">
      <c r="A23" s="30" t="inlineStr">
        <is>
          <t>Gross profit</t>
        </is>
      </c>
      <c r="B23" s="6" t="inlineStr">
        <is>
          <t>$</t>
        </is>
      </c>
      <c r="C23" s="13">
        <f>C19-C20-C21-C22</f>
        <v/>
      </c>
      <c r="D23" s="13">
        <f>D19-D20-D21-D22</f>
        <v/>
      </c>
      <c r="E23" s="13">
        <f>E19-E20-E21-E22</f>
        <v/>
      </c>
      <c r="F23" s="13">
        <f>F19-F20-F21-F22</f>
        <v/>
      </c>
      <c r="G23" s="13">
        <f>G19-G20-G21-G22</f>
        <v/>
      </c>
      <c r="H23" s="13">
        <f>H19-H20-H21-H22</f>
        <v/>
      </c>
      <c r="I23" s="13">
        <f>I19-I20-I21-I22</f>
        <v/>
      </c>
      <c r="J23" s="13">
        <f>J19-J20-J21-J22</f>
        <v/>
      </c>
      <c r="K23" s="13">
        <f>K19-K20-K21-K22</f>
        <v/>
      </c>
      <c r="L23" s="13">
        <f>L19-L20-L21-L22</f>
        <v/>
      </c>
      <c r="M23" s="13">
        <f>M19-M20-M21-M22</f>
        <v/>
      </c>
      <c r="N23" s="13">
        <f>N19-N20-N21-N22</f>
        <v/>
      </c>
    </row>
    <row r="24">
      <c r="A24" s="7" t="inlineStr">
        <is>
          <t>Gross margin</t>
        </is>
      </c>
      <c r="B24" s="6" t="inlineStr">
        <is>
          <t>%</t>
        </is>
      </c>
      <c r="C24" s="38">
        <f>IF(C19=0,0,C23/C19)</f>
        <v/>
      </c>
      <c r="D24" s="38">
        <f>IF(D19=0,0,D23/D19)</f>
        <v/>
      </c>
      <c r="E24" s="38">
        <f>IF(E19=0,0,E23/E19)</f>
        <v/>
      </c>
      <c r="F24" s="38">
        <f>IF(F19=0,0,F23/F19)</f>
        <v/>
      </c>
      <c r="G24" s="38">
        <f>IF(G19=0,0,G23/G19)</f>
        <v/>
      </c>
      <c r="H24" s="38">
        <f>IF(H19=0,0,H23/H19)</f>
        <v/>
      </c>
      <c r="I24" s="38">
        <f>IF(I19=0,0,I23/I19)</f>
        <v/>
      </c>
      <c r="J24" s="38">
        <f>IF(J19=0,0,J23/J19)</f>
        <v/>
      </c>
      <c r="K24" s="38">
        <f>IF(K19=0,0,K23/K19)</f>
        <v/>
      </c>
      <c r="L24" s="38">
        <f>IF(L19=0,0,L23/L19)</f>
        <v/>
      </c>
      <c r="M24" s="38">
        <f>IF(M19=0,0,M23/M19)</f>
        <v/>
      </c>
      <c r="N24" s="38">
        <f>IF(N19=0,0,N23/N19)</f>
        <v/>
      </c>
    </row>
    <row r="26">
      <c r="A26" s="7" t="inlineStr">
        <is>
          <t>Marketing (new users x CAC)</t>
        </is>
      </c>
      <c r="B26" s="6" t="inlineStr">
        <is>
          <t>$</t>
        </is>
      </c>
      <c r="C26" s="13">
        <f>C7*Assumptions!$B$22</f>
        <v/>
      </c>
      <c r="D26" s="13">
        <f>D7*Assumptions!$B$22</f>
        <v/>
      </c>
      <c r="E26" s="13">
        <f>E7*Assumptions!$B$22</f>
        <v/>
      </c>
      <c r="F26" s="13">
        <f>F7*Assumptions!$B$22</f>
        <v/>
      </c>
      <c r="G26" s="13">
        <f>G7*Assumptions!$B$22</f>
        <v/>
      </c>
      <c r="H26" s="13">
        <f>H7*Assumptions!$B$22</f>
        <v/>
      </c>
      <c r="I26" s="13">
        <f>I7*Assumptions!$B$22</f>
        <v/>
      </c>
      <c r="J26" s="13">
        <f>J7*Assumptions!$B$22</f>
        <v/>
      </c>
      <c r="K26" s="13">
        <f>K7*Assumptions!$B$22</f>
        <v/>
      </c>
      <c r="L26" s="13">
        <f>L7*Assumptions!$B$22</f>
        <v/>
      </c>
      <c r="M26" s="13">
        <f>M7*Assumptions!$B$22</f>
        <v/>
      </c>
      <c r="N26" s="13">
        <f>N7*Assumptions!$B$22</f>
        <v/>
      </c>
    </row>
    <row r="27">
      <c r="A27" s="7" t="inlineStr">
        <is>
          <t>Hosting</t>
        </is>
      </c>
      <c r="B27" s="6" t="inlineStr">
        <is>
          <t>$</t>
        </is>
      </c>
      <c r="C27" s="12">
        <f>Assumptions!$B$23</f>
        <v/>
      </c>
      <c r="D27" s="12">
        <f>Assumptions!$B$23</f>
        <v/>
      </c>
      <c r="E27" s="12">
        <f>Assumptions!$B$23</f>
        <v/>
      </c>
      <c r="F27" s="12">
        <f>Assumptions!$B$23</f>
        <v/>
      </c>
      <c r="G27" s="12">
        <f>Assumptions!$B$23</f>
        <v/>
      </c>
      <c r="H27" s="12">
        <f>Assumptions!$B$23</f>
        <v/>
      </c>
      <c r="I27" s="12">
        <f>Assumptions!$B$23</f>
        <v/>
      </c>
      <c r="J27" s="12">
        <f>Assumptions!$B$23</f>
        <v/>
      </c>
      <c r="K27" s="12">
        <f>Assumptions!$B$23</f>
        <v/>
      </c>
      <c r="L27" s="12">
        <f>Assumptions!$B$23</f>
        <v/>
      </c>
      <c r="M27" s="12">
        <f>Assumptions!$B$23</f>
        <v/>
      </c>
      <c r="N27" s="12">
        <f>Assumptions!$B$23</f>
        <v/>
      </c>
    </row>
    <row r="28">
      <c r="A28" s="7" t="inlineStr">
        <is>
          <t>neatlogs</t>
        </is>
      </c>
      <c r="B28" s="6" t="inlineStr">
        <is>
          <t>$</t>
        </is>
      </c>
      <c r="C28" s="12">
        <f>Assumptions!$B$24</f>
        <v/>
      </c>
      <c r="D28" s="12">
        <f>Assumptions!$B$24</f>
        <v/>
      </c>
      <c r="E28" s="12">
        <f>Assumptions!$B$24</f>
        <v/>
      </c>
      <c r="F28" s="12">
        <f>Assumptions!$B$24</f>
        <v/>
      </c>
      <c r="G28" s="12">
        <f>Assumptions!$B$24</f>
        <v/>
      </c>
      <c r="H28" s="12">
        <f>Assumptions!$B$24</f>
        <v/>
      </c>
      <c r="I28" s="12">
        <f>Assumptions!$B$24</f>
        <v/>
      </c>
      <c r="J28" s="12">
        <f>Assumptions!$B$24</f>
        <v/>
      </c>
      <c r="K28" s="12">
        <f>Assumptions!$B$24</f>
        <v/>
      </c>
      <c r="L28" s="12">
        <f>Assumptions!$B$24</f>
        <v/>
      </c>
      <c r="M28" s="12">
        <f>Assumptions!$B$24</f>
        <v/>
      </c>
      <c r="N28" s="12">
        <f>Assumptions!$B$24</f>
        <v/>
      </c>
    </row>
    <row r="29">
      <c r="A29" s="7" t="inlineStr">
        <is>
          <t>Team</t>
        </is>
      </c>
      <c r="B29" s="6" t="inlineStr">
        <is>
          <t>$</t>
        </is>
      </c>
      <c r="C29" s="12">
        <f>Assumptions!$B$25</f>
        <v/>
      </c>
      <c r="D29" s="12">
        <f>Assumptions!$B$25</f>
        <v/>
      </c>
      <c r="E29" s="12">
        <f>Assumptions!$B$25</f>
        <v/>
      </c>
      <c r="F29" s="12">
        <f>Assumptions!$B$25</f>
        <v/>
      </c>
      <c r="G29" s="12">
        <f>Assumptions!$B$25</f>
        <v/>
      </c>
      <c r="H29" s="12">
        <f>Assumptions!$B$25</f>
        <v/>
      </c>
      <c r="I29" s="12">
        <f>Assumptions!$B$25</f>
        <v/>
      </c>
      <c r="J29" s="12">
        <f>Assumptions!$B$25</f>
        <v/>
      </c>
      <c r="K29" s="12">
        <f>Assumptions!$B$25</f>
        <v/>
      </c>
      <c r="L29" s="12">
        <f>Assumptions!$B$25</f>
        <v/>
      </c>
      <c r="M29" s="12">
        <f>Assumptions!$B$25</f>
        <v/>
      </c>
      <c r="N29" s="12">
        <f>Assumptions!$B$25</f>
        <v/>
      </c>
    </row>
    <row r="30">
      <c r="A30" s="30" t="inlineStr">
        <is>
          <t>Operating profit</t>
        </is>
      </c>
      <c r="B30" s="6" t="inlineStr">
        <is>
          <t>$</t>
        </is>
      </c>
      <c r="C30" s="13">
        <f>C23-C26-C27-C28-C29</f>
        <v/>
      </c>
      <c r="D30" s="13">
        <f>D23-D26-D27-D28-D29</f>
        <v/>
      </c>
      <c r="E30" s="13">
        <f>E23-E26-E27-E28-E29</f>
        <v/>
      </c>
      <c r="F30" s="13">
        <f>F23-F26-F27-F28-F29</f>
        <v/>
      </c>
      <c r="G30" s="13">
        <f>G23-G26-G27-G28-G29</f>
        <v/>
      </c>
      <c r="H30" s="13">
        <f>H23-H26-H27-H28-H29</f>
        <v/>
      </c>
      <c r="I30" s="13">
        <f>I23-I26-I27-I28-I29</f>
        <v/>
      </c>
      <c r="J30" s="13">
        <f>J23-J26-J27-J28-J29</f>
        <v/>
      </c>
      <c r="K30" s="13">
        <f>K23-K26-K27-K28-K29</f>
        <v/>
      </c>
      <c r="L30" s="13">
        <f>L23-L26-L27-L28-L29</f>
        <v/>
      </c>
      <c r="M30" s="13">
        <f>M23-M26-M27-M28-M29</f>
        <v/>
      </c>
      <c r="N30" s="13">
        <f>N23-N26-N27-N28-N29</f>
        <v/>
      </c>
    </row>
    <row r="32">
      <c r="A32" s="7" t="inlineStr">
        <is>
          <t>Cash, start of month</t>
        </is>
      </c>
      <c r="B32" s="6" t="inlineStr">
        <is>
          <t>$</t>
        </is>
      </c>
      <c r="C32" s="12">
        <f>Assumptions!$B$26</f>
        <v/>
      </c>
      <c r="D32" s="13">
        <f>C33</f>
        <v/>
      </c>
      <c r="E32" s="13">
        <f>D33</f>
        <v/>
      </c>
      <c r="F32" s="13">
        <f>E33</f>
        <v/>
      </c>
      <c r="G32" s="13">
        <f>F33</f>
        <v/>
      </c>
      <c r="H32" s="13">
        <f>G33</f>
        <v/>
      </c>
      <c r="I32" s="13">
        <f>H33</f>
        <v/>
      </c>
      <c r="J32" s="13">
        <f>I33</f>
        <v/>
      </c>
      <c r="K32" s="13">
        <f>J33</f>
        <v/>
      </c>
      <c r="L32" s="13">
        <f>K33</f>
        <v/>
      </c>
      <c r="M32" s="13">
        <f>L33</f>
        <v/>
      </c>
      <c r="N32" s="13">
        <f>M33</f>
        <v/>
      </c>
    </row>
    <row r="33">
      <c r="A33" s="30" t="inlineStr">
        <is>
          <t>Cash, end of month</t>
        </is>
      </c>
      <c r="B33" s="6" t="inlineStr">
        <is>
          <t>$</t>
        </is>
      </c>
      <c r="C33" s="13">
        <f>C32+C30</f>
        <v/>
      </c>
      <c r="D33" s="13">
        <f>D32+D30</f>
        <v/>
      </c>
      <c r="E33" s="13">
        <f>E32+E30</f>
        <v/>
      </c>
      <c r="F33" s="13">
        <f>F32+F30</f>
        <v/>
      </c>
      <c r="G33" s="13">
        <f>G32+G30</f>
        <v/>
      </c>
      <c r="H33" s="13">
        <f>H32+H30</f>
        <v/>
      </c>
      <c r="I33" s="13">
        <f>I32+I30</f>
        <v/>
      </c>
      <c r="J33" s="13">
        <f>J32+J30</f>
        <v/>
      </c>
      <c r="K33" s="13">
        <f>K32+K30</f>
        <v/>
      </c>
      <c r="L33" s="13">
        <f>L32+L30</f>
        <v/>
      </c>
      <c r="M33" s="13">
        <f>M32+M30</f>
        <v/>
      </c>
      <c r="N33" s="13">
        <f>N32+N30</f>
        <v/>
      </c>
    </row>
    <row r="35">
      <c r="A35" s="7" t="inlineStr">
        <is>
          <t>Flag: cash below zero (1 = yes)</t>
        </is>
      </c>
      <c r="B35" s="6" t="inlineStr">
        <is>
          <t>flag</t>
        </is>
      </c>
      <c r="C35" s="14">
        <f>IF(C33&lt;0,1,0)</f>
        <v/>
      </c>
      <c r="D35" s="14">
        <f>IF(D33&lt;0,1,0)</f>
        <v/>
      </c>
      <c r="E35" s="14">
        <f>IF(E33&lt;0,1,0)</f>
        <v/>
      </c>
      <c r="F35" s="14">
        <f>IF(F33&lt;0,1,0)</f>
        <v/>
      </c>
      <c r="G35" s="14">
        <f>IF(G33&lt;0,1,0)</f>
        <v/>
      </c>
      <c r="H35" s="14">
        <f>IF(H33&lt;0,1,0)</f>
        <v/>
      </c>
      <c r="I35" s="14">
        <f>IF(I33&lt;0,1,0)</f>
        <v/>
      </c>
      <c r="J35" s="14">
        <f>IF(J33&lt;0,1,0)</f>
        <v/>
      </c>
      <c r="K35" s="14">
        <f>IF(K33&lt;0,1,0)</f>
        <v/>
      </c>
      <c r="L35" s="14">
        <f>IF(L33&lt;0,1,0)</f>
        <v/>
      </c>
      <c r="M35" s="14">
        <f>IF(M33&lt;0,1,0)</f>
        <v/>
      </c>
      <c r="N35" s="14">
        <f>IF(N33&lt;0,1,0)</f>
        <v/>
      </c>
    </row>
    <row r="36">
      <c r="A36" s="7" t="inlineStr">
        <is>
          <t>Flag: operating profit at or above zero (1 = yes)</t>
        </is>
      </c>
      <c r="B36" s="6" t="inlineStr">
        <is>
          <t>flag</t>
        </is>
      </c>
      <c r="C36" s="14">
        <f>IF(C30&gt;=0,1,0)</f>
        <v/>
      </c>
      <c r="D36" s="14">
        <f>IF(D30&gt;=0,1,0)</f>
        <v/>
      </c>
      <c r="E36" s="14">
        <f>IF(E30&gt;=0,1,0)</f>
        <v/>
      </c>
      <c r="F36" s="14">
        <f>IF(F30&gt;=0,1,0)</f>
        <v/>
      </c>
      <c r="G36" s="14">
        <f>IF(G30&gt;=0,1,0)</f>
        <v/>
      </c>
      <c r="H36" s="14">
        <f>IF(H30&gt;=0,1,0)</f>
        <v/>
      </c>
      <c r="I36" s="14">
        <f>IF(I30&gt;=0,1,0)</f>
        <v/>
      </c>
      <c r="J36" s="14">
        <f>IF(J30&gt;=0,1,0)</f>
        <v/>
      </c>
      <c r="K36" s="14">
        <f>IF(K30&gt;=0,1,0)</f>
        <v/>
      </c>
      <c r="L36" s="14">
        <f>IF(L30&gt;=0,1,0)</f>
        <v/>
      </c>
      <c r="M36" s="14">
        <f>IF(M30&gt;=0,1,0)</f>
        <v/>
      </c>
      <c r="N36" s="14">
        <f>IF(N30&gt;=0,1,0)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Growth scenario: monthly model (months 1-12)</t>
        </is>
      </c>
    </row>
    <row r="2">
      <c r="A2" s="2" t="inlineStr">
        <is>
          <t>All values in $ unless the unit column says otherwise. Inputs live on the Assumptions sheet, column C; LLM cost per audit is the single cell Assumptions!B5 (ESTIMATE).</t>
        </is>
      </c>
    </row>
    <row r="3">
      <c r="A3" s="30" t="inlineStr">
        <is>
          <t>Line</t>
        </is>
      </c>
      <c r="B3" s="30" t="inlineStr">
        <is>
          <t>Unit</t>
        </is>
      </c>
    </row>
    <row r="4">
      <c r="A4" s="7" t="inlineStr">
        <is>
          <t>Month</t>
        </is>
      </c>
      <c r="B4" s="6" t="inlineStr"/>
      <c r="C4" s="35" t="n">
        <v>1</v>
      </c>
      <c r="D4" s="36">
        <f>C4+1</f>
        <v/>
      </c>
      <c r="E4" s="36">
        <f>D4+1</f>
        <v/>
      </c>
      <c r="F4" s="36">
        <f>E4+1</f>
        <v/>
      </c>
      <c r="G4" s="36">
        <f>F4+1</f>
        <v/>
      </c>
      <c r="H4" s="36">
        <f>G4+1</f>
        <v/>
      </c>
      <c r="I4" s="36">
        <f>H4+1</f>
        <v/>
      </c>
      <c r="J4" s="36">
        <f>I4+1</f>
        <v/>
      </c>
      <c r="K4" s="36">
        <f>J4+1</f>
        <v/>
      </c>
      <c r="L4" s="36">
        <f>K4+1</f>
        <v/>
      </c>
      <c r="M4" s="36">
        <f>L4+1</f>
        <v/>
      </c>
      <c r="N4" s="36">
        <f>M4+1</f>
        <v/>
      </c>
    </row>
    <row r="6">
      <c r="A6" s="7" t="inlineStr">
        <is>
          <t>Paying users, start of month</t>
        </is>
      </c>
      <c r="B6" s="6" t="inlineStr">
        <is>
          <t>users</t>
        </is>
      </c>
      <c r="C6" s="11">
        <f>Assumptions!$C$18</f>
        <v/>
      </c>
      <c r="D6" s="37">
        <f>C9</f>
        <v/>
      </c>
      <c r="E6" s="37">
        <f>D9</f>
        <v/>
      </c>
      <c r="F6" s="37">
        <f>E9</f>
        <v/>
      </c>
      <c r="G6" s="37">
        <f>F9</f>
        <v/>
      </c>
      <c r="H6" s="37">
        <f>G9</f>
        <v/>
      </c>
      <c r="I6" s="37">
        <f>H9</f>
        <v/>
      </c>
      <c r="J6" s="37">
        <f>I9</f>
        <v/>
      </c>
      <c r="K6" s="37">
        <f>J9</f>
        <v/>
      </c>
      <c r="L6" s="37">
        <f>K9</f>
        <v/>
      </c>
      <c r="M6" s="37">
        <f>L9</f>
        <v/>
      </c>
      <c r="N6" s="37">
        <f>M9</f>
        <v/>
      </c>
    </row>
    <row r="7">
      <c r="A7" s="7" t="inlineStr">
        <is>
          <t>New users</t>
        </is>
      </c>
      <c r="B7" s="6" t="inlineStr">
        <is>
          <t>users</t>
        </is>
      </c>
      <c r="C7" s="11">
        <f>Assumptions!$C$19*(1+Assumptions!$C$20)^(C4-1)</f>
        <v/>
      </c>
      <c r="D7" s="11">
        <f>Assumptions!$C$19*(1+Assumptions!$C$20)^(D4-1)</f>
        <v/>
      </c>
      <c r="E7" s="11">
        <f>Assumptions!$C$19*(1+Assumptions!$C$20)^(E4-1)</f>
        <v/>
      </c>
      <c r="F7" s="11">
        <f>Assumptions!$C$19*(1+Assumptions!$C$20)^(F4-1)</f>
        <v/>
      </c>
      <c r="G7" s="11">
        <f>Assumptions!$C$19*(1+Assumptions!$C$20)^(G4-1)</f>
        <v/>
      </c>
      <c r="H7" s="11">
        <f>Assumptions!$C$19*(1+Assumptions!$C$20)^(H4-1)</f>
        <v/>
      </c>
      <c r="I7" s="11">
        <f>Assumptions!$C$19*(1+Assumptions!$C$20)^(I4-1)</f>
        <v/>
      </c>
      <c r="J7" s="11">
        <f>Assumptions!$C$19*(1+Assumptions!$C$20)^(J4-1)</f>
        <v/>
      </c>
      <c r="K7" s="11">
        <f>Assumptions!$C$19*(1+Assumptions!$C$20)^(K4-1)</f>
        <v/>
      </c>
      <c r="L7" s="11">
        <f>Assumptions!$C$19*(1+Assumptions!$C$20)^(L4-1)</f>
        <v/>
      </c>
      <c r="M7" s="11">
        <f>Assumptions!$C$19*(1+Assumptions!$C$20)^(M4-1)</f>
        <v/>
      </c>
      <c r="N7" s="11">
        <f>Assumptions!$C$19*(1+Assumptions!$C$20)^(N4-1)</f>
        <v/>
      </c>
    </row>
    <row r="8">
      <c r="A8" s="7" t="inlineStr">
        <is>
          <t>Churned users</t>
        </is>
      </c>
      <c r="B8" s="6" t="inlineStr">
        <is>
          <t>users</t>
        </is>
      </c>
      <c r="C8" s="37">
        <f>C6*Assumptions!$C$21</f>
        <v/>
      </c>
      <c r="D8" s="37">
        <f>D6*Assumptions!$C$21</f>
        <v/>
      </c>
      <c r="E8" s="37">
        <f>E6*Assumptions!$C$21</f>
        <v/>
      </c>
      <c r="F8" s="37">
        <f>F6*Assumptions!$C$21</f>
        <v/>
      </c>
      <c r="G8" s="37">
        <f>G6*Assumptions!$C$21</f>
        <v/>
      </c>
      <c r="H8" s="37">
        <f>H6*Assumptions!$C$21</f>
        <v/>
      </c>
      <c r="I8" s="37">
        <f>I6*Assumptions!$C$21</f>
        <v/>
      </c>
      <c r="J8" s="37">
        <f>J6*Assumptions!$C$21</f>
        <v/>
      </c>
      <c r="K8" s="37">
        <f>K6*Assumptions!$C$21</f>
        <v/>
      </c>
      <c r="L8" s="37">
        <f>L6*Assumptions!$C$21</f>
        <v/>
      </c>
      <c r="M8" s="37">
        <f>M6*Assumptions!$C$21</f>
        <v/>
      </c>
      <c r="N8" s="37">
        <f>N6*Assumptions!$C$21</f>
        <v/>
      </c>
    </row>
    <row r="9">
      <c r="A9" s="30" t="inlineStr">
        <is>
          <t>Paying users, end of month</t>
        </is>
      </c>
      <c r="B9" s="6" t="inlineStr">
        <is>
          <t>users</t>
        </is>
      </c>
      <c r="C9" s="37">
        <f>C6+C7-C8</f>
        <v/>
      </c>
      <c r="D9" s="37">
        <f>D6+D7-D8</f>
        <v/>
      </c>
      <c r="E9" s="37">
        <f>E6+E7-E8</f>
        <v/>
      </c>
      <c r="F9" s="37">
        <f>F6+F7-F8</f>
        <v/>
      </c>
      <c r="G9" s="37">
        <f>G6+G7-G8</f>
        <v/>
      </c>
      <c r="H9" s="37">
        <f>H6+H7-H8</f>
        <v/>
      </c>
      <c r="I9" s="37">
        <f>I6+I7-I8</f>
        <v/>
      </c>
      <c r="J9" s="37">
        <f>J6+J7-J8</f>
        <v/>
      </c>
      <c r="K9" s="37">
        <f>K6+K7-K8</f>
        <v/>
      </c>
      <c r="L9" s="37">
        <f>L6+L7-L8</f>
        <v/>
      </c>
      <c r="M9" s="37">
        <f>M6+M7-M8</f>
        <v/>
      </c>
      <c r="N9" s="37">
        <f>N6+N7-N8</f>
        <v/>
      </c>
    </row>
    <row r="10">
      <c r="A10" s="7" t="inlineStr">
        <is>
          <t xml:space="preserve">  on the hobbyist plan</t>
        </is>
      </c>
      <c r="B10" s="6" t="inlineStr">
        <is>
          <t>users</t>
        </is>
      </c>
      <c r="C10" s="37">
        <f>C9*Assumptions!$C$14</f>
        <v/>
      </c>
      <c r="D10" s="37">
        <f>D9*Assumptions!$C$14</f>
        <v/>
      </c>
      <c r="E10" s="37">
        <f>E9*Assumptions!$C$14</f>
        <v/>
      </c>
      <c r="F10" s="37">
        <f>F9*Assumptions!$C$14</f>
        <v/>
      </c>
      <c r="G10" s="37">
        <f>G9*Assumptions!$C$14</f>
        <v/>
      </c>
      <c r="H10" s="37">
        <f>H9*Assumptions!$C$14</f>
        <v/>
      </c>
      <c r="I10" s="37">
        <f>I9*Assumptions!$C$14</f>
        <v/>
      </c>
      <c r="J10" s="37">
        <f>J9*Assumptions!$C$14</f>
        <v/>
      </c>
      <c r="K10" s="37">
        <f>K9*Assumptions!$C$14</f>
        <v/>
      </c>
      <c r="L10" s="37">
        <f>L9*Assumptions!$C$14</f>
        <v/>
      </c>
      <c r="M10" s="37">
        <f>M9*Assumptions!$C$14</f>
        <v/>
      </c>
      <c r="N10" s="37">
        <f>N9*Assumptions!$C$14</f>
        <v/>
      </c>
    </row>
    <row r="11">
      <c r="A11" s="7" t="inlineStr">
        <is>
          <t xml:space="preserve">  paying per audit</t>
        </is>
      </c>
      <c r="B11" s="6" t="inlineStr">
        <is>
          <t>users</t>
        </is>
      </c>
      <c r="C11" s="37">
        <f>C9-C10</f>
        <v/>
      </c>
      <c r="D11" s="37">
        <f>D9-D10</f>
        <v/>
      </c>
      <c r="E11" s="37">
        <f>E9-E10</f>
        <v/>
      </c>
      <c r="F11" s="37">
        <f>F9-F10</f>
        <v/>
      </c>
      <c r="G11" s="37">
        <f>G9-G10</f>
        <v/>
      </c>
      <c r="H11" s="37">
        <f>H9-H10</f>
        <v/>
      </c>
      <c r="I11" s="37">
        <f>I9-I10</f>
        <v/>
      </c>
      <c r="J11" s="37">
        <f>J9-J10</f>
        <v/>
      </c>
      <c r="K11" s="37">
        <f>K9-K10</f>
        <v/>
      </c>
      <c r="L11" s="37">
        <f>L9-L10</f>
        <v/>
      </c>
      <c r="M11" s="37">
        <f>M9-M10</f>
        <v/>
      </c>
      <c r="N11" s="37">
        <f>N9-N10</f>
        <v/>
      </c>
    </row>
    <row r="13">
      <c r="A13" s="7" t="inlineStr">
        <is>
          <t>Audits run by subscribers</t>
        </is>
      </c>
      <c r="B13" s="6" t="inlineStr">
        <is>
          <t>audits</t>
        </is>
      </c>
      <c r="C13" s="37">
        <f>C10*Assumptions!$C$12</f>
        <v/>
      </c>
      <c r="D13" s="37">
        <f>D10*Assumptions!$C$12</f>
        <v/>
      </c>
      <c r="E13" s="37">
        <f>E10*Assumptions!$C$12</f>
        <v/>
      </c>
      <c r="F13" s="37">
        <f>F10*Assumptions!$C$12</f>
        <v/>
      </c>
      <c r="G13" s="37">
        <f>G10*Assumptions!$C$12</f>
        <v/>
      </c>
      <c r="H13" s="37">
        <f>H10*Assumptions!$C$12</f>
        <v/>
      </c>
      <c r="I13" s="37">
        <f>I10*Assumptions!$C$12</f>
        <v/>
      </c>
      <c r="J13" s="37">
        <f>J10*Assumptions!$C$12</f>
        <v/>
      </c>
      <c r="K13" s="37">
        <f>K10*Assumptions!$C$12</f>
        <v/>
      </c>
      <c r="L13" s="37">
        <f>L10*Assumptions!$C$12</f>
        <v/>
      </c>
      <c r="M13" s="37">
        <f>M10*Assumptions!$C$12</f>
        <v/>
      </c>
      <c r="N13" s="37">
        <f>N10*Assumptions!$C$12</f>
        <v/>
      </c>
    </row>
    <row r="14">
      <c r="A14" s="7" t="inlineStr">
        <is>
          <t>Audits bought per audit</t>
        </is>
      </c>
      <c r="B14" s="6" t="inlineStr">
        <is>
          <t>audits</t>
        </is>
      </c>
      <c r="C14" s="37">
        <f>C11*Assumptions!$C$13</f>
        <v/>
      </c>
      <c r="D14" s="37">
        <f>D11*Assumptions!$C$13</f>
        <v/>
      </c>
      <c r="E14" s="37">
        <f>E11*Assumptions!$C$13</f>
        <v/>
      </c>
      <c r="F14" s="37">
        <f>F11*Assumptions!$C$13</f>
        <v/>
      </c>
      <c r="G14" s="37">
        <f>G11*Assumptions!$C$13</f>
        <v/>
      </c>
      <c r="H14" s="37">
        <f>H11*Assumptions!$C$13</f>
        <v/>
      </c>
      <c r="I14" s="37">
        <f>I11*Assumptions!$C$13</f>
        <v/>
      </c>
      <c r="J14" s="37">
        <f>J11*Assumptions!$C$13</f>
        <v/>
      </c>
      <c r="K14" s="37">
        <f>K11*Assumptions!$C$13</f>
        <v/>
      </c>
      <c r="L14" s="37">
        <f>L11*Assumptions!$C$13</f>
        <v/>
      </c>
      <c r="M14" s="37">
        <f>M11*Assumptions!$C$13</f>
        <v/>
      </c>
      <c r="N14" s="37">
        <f>N11*Assumptions!$C$13</f>
        <v/>
      </c>
    </row>
    <row r="15">
      <c r="A15" s="30" t="inlineStr">
        <is>
          <t>Audits run</t>
        </is>
      </c>
      <c r="B15" s="6" t="inlineStr">
        <is>
          <t>audits</t>
        </is>
      </c>
      <c r="C15" s="37">
        <f>C13+C14</f>
        <v/>
      </c>
      <c r="D15" s="37">
        <f>D13+D14</f>
        <v/>
      </c>
      <c r="E15" s="37">
        <f>E13+E14</f>
        <v/>
      </c>
      <c r="F15" s="37">
        <f>F13+F14</f>
        <v/>
      </c>
      <c r="G15" s="37">
        <f>G13+G14</f>
        <v/>
      </c>
      <c r="H15" s="37">
        <f>H13+H14</f>
        <v/>
      </c>
      <c r="I15" s="37">
        <f>I13+I14</f>
        <v/>
      </c>
      <c r="J15" s="37">
        <f>J13+J14</f>
        <v/>
      </c>
      <c r="K15" s="37">
        <f>K13+K14</f>
        <v/>
      </c>
      <c r="L15" s="37">
        <f>L13+L14</f>
        <v/>
      </c>
      <c r="M15" s="37">
        <f>M13+M14</f>
        <v/>
      </c>
      <c r="N15" s="37">
        <f>N13+N14</f>
        <v/>
      </c>
    </row>
    <row r="17">
      <c r="A17" s="7" t="inlineStr">
        <is>
          <t>Revenue: hobbyist plan</t>
        </is>
      </c>
      <c r="B17" s="6" t="inlineStr">
        <is>
          <t>$</t>
        </is>
      </c>
      <c r="C17" s="13">
        <f>C10*Assumptions!$C$10</f>
        <v/>
      </c>
      <c r="D17" s="13">
        <f>D10*Assumptions!$C$10</f>
        <v/>
      </c>
      <c r="E17" s="13">
        <f>E10*Assumptions!$C$10</f>
        <v/>
      </c>
      <c r="F17" s="13">
        <f>F10*Assumptions!$C$10</f>
        <v/>
      </c>
      <c r="G17" s="13">
        <f>G10*Assumptions!$C$10</f>
        <v/>
      </c>
      <c r="H17" s="13">
        <f>H10*Assumptions!$C$10</f>
        <v/>
      </c>
      <c r="I17" s="13">
        <f>I10*Assumptions!$C$10</f>
        <v/>
      </c>
      <c r="J17" s="13">
        <f>J10*Assumptions!$C$10</f>
        <v/>
      </c>
      <c r="K17" s="13">
        <f>K10*Assumptions!$C$10</f>
        <v/>
      </c>
      <c r="L17" s="13">
        <f>L10*Assumptions!$C$10</f>
        <v/>
      </c>
      <c r="M17" s="13">
        <f>M10*Assumptions!$C$10</f>
        <v/>
      </c>
      <c r="N17" s="13">
        <f>N10*Assumptions!$C$10</f>
        <v/>
      </c>
    </row>
    <row r="18">
      <c r="A18" s="7" t="inlineStr">
        <is>
          <t>Revenue: pay per audit</t>
        </is>
      </c>
      <c r="B18" s="6" t="inlineStr">
        <is>
          <t>$</t>
        </is>
      </c>
      <c r="C18" s="13">
        <f>C14*Assumptions!$C$8</f>
        <v/>
      </c>
      <c r="D18" s="13">
        <f>D14*Assumptions!$C$8</f>
        <v/>
      </c>
      <c r="E18" s="13">
        <f>E14*Assumptions!$C$8</f>
        <v/>
      </c>
      <c r="F18" s="13">
        <f>F14*Assumptions!$C$8</f>
        <v/>
      </c>
      <c r="G18" s="13">
        <f>G14*Assumptions!$C$8</f>
        <v/>
      </c>
      <c r="H18" s="13">
        <f>H14*Assumptions!$C$8</f>
        <v/>
      </c>
      <c r="I18" s="13">
        <f>I14*Assumptions!$C$8</f>
        <v/>
      </c>
      <c r="J18" s="13">
        <f>J14*Assumptions!$C$8</f>
        <v/>
      </c>
      <c r="K18" s="13">
        <f>K14*Assumptions!$C$8</f>
        <v/>
      </c>
      <c r="L18" s="13">
        <f>L14*Assumptions!$C$8</f>
        <v/>
      </c>
      <c r="M18" s="13">
        <f>M14*Assumptions!$C$8</f>
        <v/>
      </c>
      <c r="N18" s="13">
        <f>N14*Assumptions!$C$8</f>
        <v/>
      </c>
    </row>
    <row r="19">
      <c r="A19" s="30" t="inlineStr">
        <is>
          <t>Revenue</t>
        </is>
      </c>
      <c r="B19" s="6" t="inlineStr">
        <is>
          <t>$</t>
        </is>
      </c>
      <c r="C19" s="13">
        <f>C17+C18</f>
        <v/>
      </c>
      <c r="D19" s="13">
        <f>D17+D18</f>
        <v/>
      </c>
      <c r="E19" s="13">
        <f>E17+E18</f>
        <v/>
      </c>
      <c r="F19" s="13">
        <f>F17+F18</f>
        <v/>
      </c>
      <c r="G19" s="13">
        <f>G17+G18</f>
        <v/>
      </c>
      <c r="H19" s="13">
        <f>H17+H18</f>
        <v/>
      </c>
      <c r="I19" s="13">
        <f>I17+I18</f>
        <v/>
      </c>
      <c r="J19" s="13">
        <f>J17+J18</f>
        <v/>
      </c>
      <c r="K19" s="13">
        <f>K17+K18</f>
        <v/>
      </c>
      <c r="L19" s="13">
        <f>L17+L18</f>
        <v/>
      </c>
      <c r="M19" s="13">
        <f>M17+M18</f>
        <v/>
      </c>
      <c r="N19" s="13">
        <f>N17+N18</f>
        <v/>
      </c>
    </row>
    <row r="20">
      <c r="A20" s="7" t="inlineStr">
        <is>
          <t>Payment fees</t>
        </is>
      </c>
      <c r="B20" s="6" t="inlineStr">
        <is>
          <t>$</t>
        </is>
      </c>
      <c r="C20" s="13">
        <f>C10*(Assumptions!$C$10*Assumptions!$C$16+Assumptions!$C$17)+C14*(Assumptions!$C$8*Assumptions!$C$16+Assumptions!$C$17/Assumptions!$C$9)</f>
        <v/>
      </c>
      <c r="D20" s="13">
        <f>D10*(Assumptions!$C$10*Assumptions!$C$16+Assumptions!$C$17)+D14*(Assumptions!$C$8*Assumptions!$C$16+Assumptions!$C$17/Assumptions!$C$9)</f>
        <v/>
      </c>
      <c r="E20" s="13">
        <f>E10*(Assumptions!$C$10*Assumptions!$C$16+Assumptions!$C$17)+E14*(Assumptions!$C$8*Assumptions!$C$16+Assumptions!$C$17/Assumptions!$C$9)</f>
        <v/>
      </c>
      <c r="F20" s="13">
        <f>F10*(Assumptions!$C$10*Assumptions!$C$16+Assumptions!$C$17)+F14*(Assumptions!$C$8*Assumptions!$C$16+Assumptions!$C$17/Assumptions!$C$9)</f>
        <v/>
      </c>
      <c r="G20" s="13">
        <f>G10*(Assumptions!$C$10*Assumptions!$C$16+Assumptions!$C$17)+G14*(Assumptions!$C$8*Assumptions!$C$16+Assumptions!$C$17/Assumptions!$C$9)</f>
        <v/>
      </c>
      <c r="H20" s="13">
        <f>H10*(Assumptions!$C$10*Assumptions!$C$16+Assumptions!$C$17)+H14*(Assumptions!$C$8*Assumptions!$C$16+Assumptions!$C$17/Assumptions!$C$9)</f>
        <v/>
      </c>
      <c r="I20" s="13">
        <f>I10*(Assumptions!$C$10*Assumptions!$C$16+Assumptions!$C$17)+I14*(Assumptions!$C$8*Assumptions!$C$16+Assumptions!$C$17/Assumptions!$C$9)</f>
        <v/>
      </c>
      <c r="J20" s="13">
        <f>J10*(Assumptions!$C$10*Assumptions!$C$16+Assumptions!$C$17)+J14*(Assumptions!$C$8*Assumptions!$C$16+Assumptions!$C$17/Assumptions!$C$9)</f>
        <v/>
      </c>
      <c r="K20" s="13">
        <f>K10*(Assumptions!$C$10*Assumptions!$C$16+Assumptions!$C$17)+K14*(Assumptions!$C$8*Assumptions!$C$16+Assumptions!$C$17/Assumptions!$C$9)</f>
        <v/>
      </c>
      <c r="L20" s="13">
        <f>L10*(Assumptions!$C$10*Assumptions!$C$16+Assumptions!$C$17)+L14*(Assumptions!$C$8*Assumptions!$C$16+Assumptions!$C$17/Assumptions!$C$9)</f>
        <v/>
      </c>
      <c r="M20" s="13">
        <f>M10*(Assumptions!$C$10*Assumptions!$C$16+Assumptions!$C$17)+M14*(Assumptions!$C$8*Assumptions!$C$16+Assumptions!$C$17/Assumptions!$C$9)</f>
        <v/>
      </c>
      <c r="N20" s="13">
        <f>N10*(Assumptions!$C$10*Assumptions!$C$16+Assumptions!$C$17)+N14*(Assumptions!$C$8*Assumptions!$C$16+Assumptions!$C$17/Assumptions!$C$9)</f>
        <v/>
      </c>
    </row>
    <row r="21">
      <c r="A21" s="7" t="inlineStr">
        <is>
          <t>LLM inference (audits x cost per audit)</t>
        </is>
      </c>
      <c r="B21" s="6" t="inlineStr">
        <is>
          <t>$</t>
        </is>
      </c>
      <c r="C21" s="13">
        <f>C15*Assumptions!$B$5</f>
        <v/>
      </c>
      <c r="D21" s="13">
        <f>D15*Assumptions!$B$5</f>
        <v/>
      </c>
      <c r="E21" s="13">
        <f>E15*Assumptions!$B$5</f>
        <v/>
      </c>
      <c r="F21" s="13">
        <f>F15*Assumptions!$B$5</f>
        <v/>
      </c>
      <c r="G21" s="13">
        <f>G15*Assumptions!$B$5</f>
        <v/>
      </c>
      <c r="H21" s="13">
        <f>H15*Assumptions!$B$5</f>
        <v/>
      </c>
      <c r="I21" s="13">
        <f>I15*Assumptions!$B$5</f>
        <v/>
      </c>
      <c r="J21" s="13">
        <f>J15*Assumptions!$B$5</f>
        <v/>
      </c>
      <c r="K21" s="13">
        <f>K15*Assumptions!$B$5</f>
        <v/>
      </c>
      <c r="L21" s="13">
        <f>L15*Assumptions!$B$5</f>
        <v/>
      </c>
      <c r="M21" s="13">
        <f>M15*Assumptions!$B$5</f>
        <v/>
      </c>
      <c r="N21" s="13">
        <f>N15*Assumptions!$B$5</f>
        <v/>
      </c>
    </row>
    <row r="22">
      <c r="A22" s="7" t="inlineStr">
        <is>
          <t>Data (audits x data cost per audit)</t>
        </is>
      </c>
      <c r="B22" s="6" t="inlineStr">
        <is>
          <t>$</t>
        </is>
      </c>
      <c r="C22" s="13">
        <f>C15*Assumptions!$C$15</f>
        <v/>
      </c>
      <c r="D22" s="13">
        <f>D15*Assumptions!$C$15</f>
        <v/>
      </c>
      <c r="E22" s="13">
        <f>E15*Assumptions!$C$15</f>
        <v/>
      </c>
      <c r="F22" s="13">
        <f>F15*Assumptions!$C$15</f>
        <v/>
      </c>
      <c r="G22" s="13">
        <f>G15*Assumptions!$C$15</f>
        <v/>
      </c>
      <c r="H22" s="13">
        <f>H15*Assumptions!$C$15</f>
        <v/>
      </c>
      <c r="I22" s="13">
        <f>I15*Assumptions!$C$15</f>
        <v/>
      </c>
      <c r="J22" s="13">
        <f>J15*Assumptions!$C$15</f>
        <v/>
      </c>
      <c r="K22" s="13">
        <f>K15*Assumptions!$C$15</f>
        <v/>
      </c>
      <c r="L22" s="13">
        <f>L15*Assumptions!$C$15</f>
        <v/>
      </c>
      <c r="M22" s="13">
        <f>M15*Assumptions!$C$15</f>
        <v/>
      </c>
      <c r="N22" s="13">
        <f>N15*Assumptions!$C$15</f>
        <v/>
      </c>
    </row>
    <row r="23">
      <c r="A23" s="30" t="inlineStr">
        <is>
          <t>Gross profit</t>
        </is>
      </c>
      <c r="B23" s="6" t="inlineStr">
        <is>
          <t>$</t>
        </is>
      </c>
      <c r="C23" s="13">
        <f>C19-C20-C21-C22</f>
        <v/>
      </c>
      <c r="D23" s="13">
        <f>D19-D20-D21-D22</f>
        <v/>
      </c>
      <c r="E23" s="13">
        <f>E19-E20-E21-E22</f>
        <v/>
      </c>
      <c r="F23" s="13">
        <f>F19-F20-F21-F22</f>
        <v/>
      </c>
      <c r="G23" s="13">
        <f>G19-G20-G21-G22</f>
        <v/>
      </c>
      <c r="H23" s="13">
        <f>H19-H20-H21-H22</f>
        <v/>
      </c>
      <c r="I23" s="13">
        <f>I19-I20-I21-I22</f>
        <v/>
      </c>
      <c r="J23" s="13">
        <f>J19-J20-J21-J22</f>
        <v/>
      </c>
      <c r="K23" s="13">
        <f>K19-K20-K21-K22</f>
        <v/>
      </c>
      <c r="L23" s="13">
        <f>L19-L20-L21-L22</f>
        <v/>
      </c>
      <c r="M23" s="13">
        <f>M19-M20-M21-M22</f>
        <v/>
      </c>
      <c r="N23" s="13">
        <f>N19-N20-N21-N22</f>
        <v/>
      </c>
    </row>
    <row r="24">
      <c r="A24" s="7" t="inlineStr">
        <is>
          <t>Gross margin</t>
        </is>
      </c>
      <c r="B24" s="6" t="inlineStr">
        <is>
          <t>%</t>
        </is>
      </c>
      <c r="C24" s="38">
        <f>IF(C19=0,0,C23/C19)</f>
        <v/>
      </c>
      <c r="D24" s="38">
        <f>IF(D19=0,0,D23/D19)</f>
        <v/>
      </c>
      <c r="E24" s="38">
        <f>IF(E19=0,0,E23/E19)</f>
        <v/>
      </c>
      <c r="F24" s="38">
        <f>IF(F19=0,0,F23/F19)</f>
        <v/>
      </c>
      <c r="G24" s="38">
        <f>IF(G19=0,0,G23/G19)</f>
        <v/>
      </c>
      <c r="H24" s="38">
        <f>IF(H19=0,0,H23/H19)</f>
        <v/>
      </c>
      <c r="I24" s="38">
        <f>IF(I19=0,0,I23/I19)</f>
        <v/>
      </c>
      <c r="J24" s="38">
        <f>IF(J19=0,0,J23/J19)</f>
        <v/>
      </c>
      <c r="K24" s="38">
        <f>IF(K19=0,0,K23/K19)</f>
        <v/>
      </c>
      <c r="L24" s="38">
        <f>IF(L19=0,0,L23/L19)</f>
        <v/>
      </c>
      <c r="M24" s="38">
        <f>IF(M19=0,0,M23/M19)</f>
        <v/>
      </c>
      <c r="N24" s="38">
        <f>IF(N19=0,0,N23/N19)</f>
        <v/>
      </c>
    </row>
    <row r="26">
      <c r="A26" s="7" t="inlineStr">
        <is>
          <t>Marketing (new users x CAC)</t>
        </is>
      </c>
      <c r="B26" s="6" t="inlineStr">
        <is>
          <t>$</t>
        </is>
      </c>
      <c r="C26" s="13">
        <f>C7*Assumptions!$C$22</f>
        <v/>
      </c>
      <c r="D26" s="13">
        <f>D7*Assumptions!$C$22</f>
        <v/>
      </c>
      <c r="E26" s="13">
        <f>E7*Assumptions!$C$22</f>
        <v/>
      </c>
      <c r="F26" s="13">
        <f>F7*Assumptions!$C$22</f>
        <v/>
      </c>
      <c r="G26" s="13">
        <f>G7*Assumptions!$C$22</f>
        <v/>
      </c>
      <c r="H26" s="13">
        <f>H7*Assumptions!$C$22</f>
        <v/>
      </c>
      <c r="I26" s="13">
        <f>I7*Assumptions!$C$22</f>
        <v/>
      </c>
      <c r="J26" s="13">
        <f>J7*Assumptions!$C$22</f>
        <v/>
      </c>
      <c r="K26" s="13">
        <f>K7*Assumptions!$C$22</f>
        <v/>
      </c>
      <c r="L26" s="13">
        <f>L7*Assumptions!$C$22</f>
        <v/>
      </c>
      <c r="M26" s="13">
        <f>M7*Assumptions!$C$22</f>
        <v/>
      </c>
      <c r="N26" s="13">
        <f>N7*Assumptions!$C$22</f>
        <v/>
      </c>
    </row>
    <row r="27">
      <c r="A27" s="7" t="inlineStr">
        <is>
          <t>Hosting</t>
        </is>
      </c>
      <c r="B27" s="6" t="inlineStr">
        <is>
          <t>$</t>
        </is>
      </c>
      <c r="C27" s="12">
        <f>Assumptions!$C$23</f>
        <v/>
      </c>
      <c r="D27" s="12">
        <f>Assumptions!$C$23</f>
        <v/>
      </c>
      <c r="E27" s="12">
        <f>Assumptions!$C$23</f>
        <v/>
      </c>
      <c r="F27" s="12">
        <f>Assumptions!$C$23</f>
        <v/>
      </c>
      <c r="G27" s="12">
        <f>Assumptions!$C$23</f>
        <v/>
      </c>
      <c r="H27" s="12">
        <f>Assumptions!$C$23</f>
        <v/>
      </c>
      <c r="I27" s="12">
        <f>Assumptions!$C$23</f>
        <v/>
      </c>
      <c r="J27" s="12">
        <f>Assumptions!$C$23</f>
        <v/>
      </c>
      <c r="K27" s="12">
        <f>Assumptions!$C$23</f>
        <v/>
      </c>
      <c r="L27" s="12">
        <f>Assumptions!$C$23</f>
        <v/>
      </c>
      <c r="M27" s="12">
        <f>Assumptions!$C$23</f>
        <v/>
      </c>
      <c r="N27" s="12">
        <f>Assumptions!$C$23</f>
        <v/>
      </c>
    </row>
    <row r="28">
      <c r="A28" s="7" t="inlineStr">
        <is>
          <t>neatlogs</t>
        </is>
      </c>
      <c r="B28" s="6" t="inlineStr">
        <is>
          <t>$</t>
        </is>
      </c>
      <c r="C28" s="12">
        <f>Assumptions!$C$24</f>
        <v/>
      </c>
      <c r="D28" s="12">
        <f>Assumptions!$C$24</f>
        <v/>
      </c>
      <c r="E28" s="12">
        <f>Assumptions!$C$24</f>
        <v/>
      </c>
      <c r="F28" s="12">
        <f>Assumptions!$C$24</f>
        <v/>
      </c>
      <c r="G28" s="12">
        <f>Assumptions!$C$24</f>
        <v/>
      </c>
      <c r="H28" s="12">
        <f>Assumptions!$C$24</f>
        <v/>
      </c>
      <c r="I28" s="12">
        <f>Assumptions!$C$24</f>
        <v/>
      </c>
      <c r="J28" s="12">
        <f>Assumptions!$C$24</f>
        <v/>
      </c>
      <c r="K28" s="12">
        <f>Assumptions!$C$24</f>
        <v/>
      </c>
      <c r="L28" s="12">
        <f>Assumptions!$C$24</f>
        <v/>
      </c>
      <c r="M28" s="12">
        <f>Assumptions!$C$24</f>
        <v/>
      </c>
      <c r="N28" s="12">
        <f>Assumptions!$C$24</f>
        <v/>
      </c>
    </row>
    <row r="29">
      <c r="A29" s="7" t="inlineStr">
        <is>
          <t>Team</t>
        </is>
      </c>
      <c r="B29" s="6" t="inlineStr">
        <is>
          <t>$</t>
        </is>
      </c>
      <c r="C29" s="12">
        <f>Assumptions!$C$25</f>
        <v/>
      </c>
      <c r="D29" s="12">
        <f>Assumptions!$C$25</f>
        <v/>
      </c>
      <c r="E29" s="12">
        <f>Assumptions!$C$25</f>
        <v/>
      </c>
      <c r="F29" s="12">
        <f>Assumptions!$C$25</f>
        <v/>
      </c>
      <c r="G29" s="12">
        <f>Assumptions!$C$25</f>
        <v/>
      </c>
      <c r="H29" s="12">
        <f>Assumptions!$C$25</f>
        <v/>
      </c>
      <c r="I29" s="12">
        <f>Assumptions!$C$25</f>
        <v/>
      </c>
      <c r="J29" s="12">
        <f>Assumptions!$C$25</f>
        <v/>
      </c>
      <c r="K29" s="12">
        <f>Assumptions!$C$25</f>
        <v/>
      </c>
      <c r="L29" s="12">
        <f>Assumptions!$C$25</f>
        <v/>
      </c>
      <c r="M29" s="12">
        <f>Assumptions!$C$25</f>
        <v/>
      </c>
      <c r="N29" s="12">
        <f>Assumptions!$C$25</f>
        <v/>
      </c>
    </row>
    <row r="30">
      <c r="A30" s="30" t="inlineStr">
        <is>
          <t>Operating profit</t>
        </is>
      </c>
      <c r="B30" s="6" t="inlineStr">
        <is>
          <t>$</t>
        </is>
      </c>
      <c r="C30" s="13">
        <f>C23-C26-C27-C28-C29</f>
        <v/>
      </c>
      <c r="D30" s="13">
        <f>D23-D26-D27-D28-D29</f>
        <v/>
      </c>
      <c r="E30" s="13">
        <f>E23-E26-E27-E28-E29</f>
        <v/>
      </c>
      <c r="F30" s="13">
        <f>F23-F26-F27-F28-F29</f>
        <v/>
      </c>
      <c r="G30" s="13">
        <f>G23-G26-G27-G28-G29</f>
        <v/>
      </c>
      <c r="H30" s="13">
        <f>H23-H26-H27-H28-H29</f>
        <v/>
      </c>
      <c r="I30" s="13">
        <f>I23-I26-I27-I28-I29</f>
        <v/>
      </c>
      <c r="J30" s="13">
        <f>J23-J26-J27-J28-J29</f>
        <v/>
      </c>
      <c r="K30" s="13">
        <f>K23-K26-K27-K28-K29</f>
        <v/>
      </c>
      <c r="L30" s="13">
        <f>L23-L26-L27-L28-L29</f>
        <v/>
      </c>
      <c r="M30" s="13">
        <f>M23-M26-M27-M28-M29</f>
        <v/>
      </c>
      <c r="N30" s="13">
        <f>N23-N26-N27-N28-N29</f>
        <v/>
      </c>
    </row>
    <row r="32">
      <c r="A32" s="7" t="inlineStr">
        <is>
          <t>Cash, start of month</t>
        </is>
      </c>
      <c r="B32" s="6" t="inlineStr">
        <is>
          <t>$</t>
        </is>
      </c>
      <c r="C32" s="12">
        <f>Assumptions!$C$26</f>
        <v/>
      </c>
      <c r="D32" s="13">
        <f>C33</f>
        <v/>
      </c>
      <c r="E32" s="13">
        <f>D33</f>
        <v/>
      </c>
      <c r="F32" s="13">
        <f>E33</f>
        <v/>
      </c>
      <c r="G32" s="13">
        <f>F33</f>
        <v/>
      </c>
      <c r="H32" s="13">
        <f>G33</f>
        <v/>
      </c>
      <c r="I32" s="13">
        <f>H33</f>
        <v/>
      </c>
      <c r="J32" s="13">
        <f>I33</f>
        <v/>
      </c>
      <c r="K32" s="13">
        <f>J33</f>
        <v/>
      </c>
      <c r="L32" s="13">
        <f>K33</f>
        <v/>
      </c>
      <c r="M32" s="13">
        <f>L33</f>
        <v/>
      </c>
      <c r="N32" s="13">
        <f>M33</f>
        <v/>
      </c>
    </row>
    <row r="33">
      <c r="A33" s="30" t="inlineStr">
        <is>
          <t>Cash, end of month</t>
        </is>
      </c>
      <c r="B33" s="6" t="inlineStr">
        <is>
          <t>$</t>
        </is>
      </c>
      <c r="C33" s="13">
        <f>C32+C30</f>
        <v/>
      </c>
      <c r="D33" s="13">
        <f>D32+D30</f>
        <v/>
      </c>
      <c r="E33" s="13">
        <f>E32+E30</f>
        <v/>
      </c>
      <c r="F33" s="13">
        <f>F32+F30</f>
        <v/>
      </c>
      <c r="G33" s="13">
        <f>G32+G30</f>
        <v/>
      </c>
      <c r="H33" s="13">
        <f>H32+H30</f>
        <v/>
      </c>
      <c r="I33" s="13">
        <f>I32+I30</f>
        <v/>
      </c>
      <c r="J33" s="13">
        <f>J32+J30</f>
        <v/>
      </c>
      <c r="K33" s="13">
        <f>K32+K30</f>
        <v/>
      </c>
      <c r="L33" s="13">
        <f>L32+L30</f>
        <v/>
      </c>
      <c r="M33" s="13">
        <f>M32+M30</f>
        <v/>
      </c>
      <c r="N33" s="13">
        <f>N32+N30</f>
        <v/>
      </c>
    </row>
    <row r="35">
      <c r="A35" s="7" t="inlineStr">
        <is>
          <t>Flag: cash below zero (1 = yes)</t>
        </is>
      </c>
      <c r="B35" s="6" t="inlineStr">
        <is>
          <t>flag</t>
        </is>
      </c>
      <c r="C35" s="14">
        <f>IF(C33&lt;0,1,0)</f>
        <v/>
      </c>
      <c r="D35" s="14">
        <f>IF(D33&lt;0,1,0)</f>
        <v/>
      </c>
      <c r="E35" s="14">
        <f>IF(E33&lt;0,1,0)</f>
        <v/>
      </c>
      <c r="F35" s="14">
        <f>IF(F33&lt;0,1,0)</f>
        <v/>
      </c>
      <c r="G35" s="14">
        <f>IF(G33&lt;0,1,0)</f>
        <v/>
      </c>
      <c r="H35" s="14">
        <f>IF(H33&lt;0,1,0)</f>
        <v/>
      </c>
      <c r="I35" s="14">
        <f>IF(I33&lt;0,1,0)</f>
        <v/>
      </c>
      <c r="J35" s="14">
        <f>IF(J33&lt;0,1,0)</f>
        <v/>
      </c>
      <c r="K35" s="14">
        <f>IF(K33&lt;0,1,0)</f>
        <v/>
      </c>
      <c r="L35" s="14">
        <f>IF(L33&lt;0,1,0)</f>
        <v/>
      </c>
      <c r="M35" s="14">
        <f>IF(M33&lt;0,1,0)</f>
        <v/>
      </c>
      <c r="N35" s="14">
        <f>IF(N33&lt;0,1,0)</f>
        <v/>
      </c>
    </row>
    <row r="36">
      <c r="A36" s="7" t="inlineStr">
        <is>
          <t>Flag: operating profit at or above zero (1 = yes)</t>
        </is>
      </c>
      <c r="B36" s="6" t="inlineStr">
        <is>
          <t>flag</t>
        </is>
      </c>
      <c r="C36" s="14">
        <f>IF(C30&gt;=0,1,0)</f>
        <v/>
      </c>
      <c r="D36" s="14">
        <f>IF(D30&gt;=0,1,0)</f>
        <v/>
      </c>
      <c r="E36" s="14">
        <f>IF(E30&gt;=0,1,0)</f>
        <v/>
      </c>
      <c r="F36" s="14">
        <f>IF(F30&gt;=0,1,0)</f>
        <v/>
      </c>
      <c r="G36" s="14">
        <f>IF(G30&gt;=0,1,0)</f>
        <v/>
      </c>
      <c r="H36" s="14">
        <f>IF(H30&gt;=0,1,0)</f>
        <v/>
      </c>
      <c r="I36" s="14">
        <f>IF(I30&gt;=0,1,0)</f>
        <v/>
      </c>
      <c r="J36" s="14">
        <f>IF(J30&gt;=0,1,0)</f>
        <v/>
      </c>
      <c r="K36" s="14">
        <f>IF(K30&gt;=0,1,0)</f>
        <v/>
      </c>
      <c r="L36" s="14">
        <f>IF(L30&gt;=0,1,0)</f>
        <v/>
      </c>
      <c r="M36" s="14">
        <f>IF(M30&gt;=0,1,0)</f>
        <v/>
      </c>
      <c r="N36" s="14">
        <f>IF(N30&gt;=0,1,0)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Unit economics: per audit and per subscriber</t>
        </is>
      </c>
    </row>
    <row r="2">
      <c r="A2" s="2" t="inlineStr">
        <is>
          <t>LLM cost per audit is Assumptions!B5 (ESTIMATE until M2 measures it).</t>
        </is>
      </c>
    </row>
    <row r="3">
      <c r="A3" s="3" t="inlineStr">
        <is>
          <t>Line</t>
        </is>
      </c>
      <c r="B3" s="3" t="inlineStr">
        <is>
          <t>Base</t>
        </is>
      </c>
      <c r="C3" s="3" t="inlineStr">
        <is>
          <t>Growth</t>
        </is>
      </c>
      <c r="D3" s="3" t="inlineStr">
        <is>
          <t>Unit</t>
        </is>
      </c>
    </row>
    <row r="4">
      <c r="A4" s="30" t="inlineStr">
        <is>
          <t>One audit, pay per audit</t>
        </is>
      </c>
    </row>
    <row r="5">
      <c r="A5" s="7" t="inlineStr">
        <is>
          <t>Price per audit</t>
        </is>
      </c>
      <c r="B5" s="8">
        <f>Assumptions!$B$8</f>
        <v/>
      </c>
      <c r="C5" s="8">
        <f>Assumptions!$C$8</f>
        <v/>
      </c>
      <c r="D5" s="6" t="inlineStr">
        <is>
          <t>$ / audit</t>
        </is>
      </c>
    </row>
    <row r="6">
      <c r="A6" s="7" t="inlineStr">
        <is>
          <t>Payment fees per audit</t>
        </is>
      </c>
      <c r="B6" s="39">
        <f>Assumptions!$B$8*Assumptions!$B$16+Assumptions!$B$17/Assumptions!$B$9</f>
        <v/>
      </c>
      <c r="C6" s="39">
        <f>Assumptions!$C$8*Assumptions!$C$16+Assumptions!$C$17/Assumptions!$C$9</f>
        <v/>
      </c>
      <c r="D6" s="6" t="inlineStr">
        <is>
          <t>$ / audit</t>
        </is>
      </c>
    </row>
    <row r="7">
      <c r="A7" s="7" t="inlineStr">
        <is>
          <t>LLM cost per audit (ESTIMATE)</t>
        </is>
      </c>
      <c r="B7" s="5">
        <f>Assumptions!$B$5</f>
        <v/>
      </c>
      <c r="C7" s="5">
        <f>Assumptions!$B$5</f>
        <v/>
      </c>
      <c r="D7" s="6" t="inlineStr">
        <is>
          <t>$ / audit</t>
        </is>
      </c>
    </row>
    <row r="8">
      <c r="A8" s="7" t="inlineStr">
        <is>
          <t>Data cost per audit</t>
        </is>
      </c>
      <c r="B8" s="8">
        <f>Assumptions!$B$15</f>
        <v/>
      </c>
      <c r="C8" s="8">
        <f>Assumptions!$C$15</f>
        <v/>
      </c>
      <c r="D8" s="6" t="inlineStr">
        <is>
          <t>$ / audit</t>
        </is>
      </c>
    </row>
    <row r="9">
      <c r="A9" s="30" t="inlineStr">
        <is>
          <t>Contribution per audit</t>
        </is>
      </c>
      <c r="B9" s="39">
        <f>B5-B6-B7-B8</f>
        <v/>
      </c>
      <c r="C9" s="39">
        <f>C5-C6-C7-C8</f>
        <v/>
      </c>
      <c r="D9" s="6" t="inlineStr">
        <is>
          <t>$ / audit</t>
        </is>
      </c>
    </row>
    <row r="10">
      <c r="A10" s="7" t="inlineStr">
        <is>
          <t>Gross margin per audit</t>
        </is>
      </c>
      <c r="B10" s="38">
        <f>IF(B5=0,0,B9/B5)</f>
        <v/>
      </c>
      <c r="C10" s="38">
        <f>IF(C5=0,0,C9/C5)</f>
        <v/>
      </c>
      <c r="D10" s="6" t="inlineStr">
        <is>
          <t>%</t>
        </is>
      </c>
    </row>
    <row r="11">
      <c r="A11" s="7" t="inlineStr">
        <is>
          <t>LLM cost per audit at which contribution is zero</t>
        </is>
      </c>
      <c r="B11" s="39">
        <f>B5-B6-B8</f>
        <v/>
      </c>
      <c r="C11" s="39">
        <f>C5-C6-C8</f>
        <v/>
      </c>
      <c r="D11" s="6" t="inlineStr">
        <is>
          <t>$ / audit</t>
        </is>
      </c>
    </row>
    <row r="12">
      <c r="A12" s="30" t="inlineStr">
        <is>
          <t>One hobbyist subscriber, per month</t>
        </is>
      </c>
    </row>
    <row r="13">
      <c r="A13" s="7" t="inlineStr">
        <is>
          <t>Plan price</t>
        </is>
      </c>
      <c r="B13" s="8">
        <f>Assumptions!$B$10</f>
        <v/>
      </c>
      <c r="C13" s="8">
        <f>Assumptions!$C$10</f>
        <v/>
      </c>
      <c r="D13" s="6" t="inlineStr">
        <is>
          <t>$ / month</t>
        </is>
      </c>
    </row>
    <row r="14">
      <c r="A14" s="7" t="inlineStr">
        <is>
          <t>Payment fees</t>
        </is>
      </c>
      <c r="B14" s="39">
        <f>Assumptions!$B$10*Assumptions!$B$16+Assumptions!$B$17</f>
        <v/>
      </c>
      <c r="C14" s="39">
        <f>Assumptions!$C$10*Assumptions!$C$16+Assumptions!$C$17</f>
        <v/>
      </c>
      <c r="D14" s="6" t="inlineStr">
        <is>
          <t>$ / month</t>
        </is>
      </c>
    </row>
    <row r="15">
      <c r="A15" s="7" t="inlineStr">
        <is>
          <t>LLM cost (audits run x cost per audit)</t>
        </is>
      </c>
      <c r="B15" s="39">
        <f>Assumptions!$B$12*Assumptions!$B$5</f>
        <v/>
      </c>
      <c r="C15" s="39">
        <f>Assumptions!$C$12*Assumptions!$B$5</f>
        <v/>
      </c>
      <c r="D15" s="6" t="inlineStr">
        <is>
          <t>$ / month</t>
        </is>
      </c>
    </row>
    <row r="16">
      <c r="A16" s="7" t="inlineStr">
        <is>
          <t>Data cost</t>
        </is>
      </c>
      <c r="B16" s="39">
        <f>Assumptions!$B$12*Assumptions!$B$15</f>
        <v/>
      </c>
      <c r="C16" s="39">
        <f>Assumptions!$C$12*Assumptions!$C$15</f>
        <v/>
      </c>
      <c r="D16" s="6" t="inlineStr">
        <is>
          <t>$ / month</t>
        </is>
      </c>
    </row>
    <row r="17">
      <c r="A17" s="30" t="inlineStr">
        <is>
          <t>Contribution per subscriber</t>
        </is>
      </c>
      <c r="B17" s="39">
        <f>B13-B14-B15-B16</f>
        <v/>
      </c>
      <c r="C17" s="39">
        <f>C13-C14-C15-C16</f>
        <v/>
      </c>
      <c r="D17" s="6" t="inlineStr">
        <is>
          <t>$ / month</t>
        </is>
      </c>
    </row>
    <row r="18">
      <c r="A18" s="7" t="inlineStr">
        <is>
          <t>Gross margin per subscriber</t>
        </is>
      </c>
      <c r="B18" s="38">
        <f>IF(B13=0,0,B17/B13)</f>
        <v/>
      </c>
      <c r="C18" s="38">
        <f>IF(C13=0,0,C17/C13)</f>
        <v/>
      </c>
      <c r="D18" s="6" t="inlineStr">
        <is>
          <t>%</t>
        </is>
      </c>
    </row>
    <row r="19">
      <c r="A19" s="7" t="inlineStr">
        <is>
          <t>Contribution if all included audits are used</t>
        </is>
      </c>
      <c r="B19" s="39">
        <f>B13-B14-Assumptions!$B$11*(Assumptions!$B$5+Assumptions!$B$15)</f>
        <v/>
      </c>
      <c r="C19" s="39">
        <f>C13-C14-Assumptions!$C$11*(Assumptions!$B$5+Assumptions!$C$15)</f>
        <v/>
      </c>
      <c r="D19" s="6" t="inlineStr">
        <is>
          <t>$ / month</t>
        </is>
      </c>
    </row>
    <row r="20">
      <c r="A20" s="7" t="inlineStr">
        <is>
          <t>Revenue per audit actually run on the plan</t>
        </is>
      </c>
      <c r="B20" s="39">
        <f>IF(Assumptions!$B$12=0,0,B13/Assumptions!$B$12)</f>
        <v/>
      </c>
      <c r="C20" s="39">
        <f>IF(Assumptions!$C$12=0,0,C13/Assumptions!$C$12)</f>
        <v/>
      </c>
      <c r="D20" s="6" t="inlineStr">
        <is>
          <t>$ / audit</t>
        </is>
      </c>
    </row>
    <row r="21">
      <c r="A21" s="30" t="inlineStr">
        <is>
          <t>One paying user, blended, per month</t>
        </is>
      </c>
    </row>
    <row r="22">
      <c r="A22" s="7" t="inlineStr">
        <is>
          <t>Contribution per pay-per-audit user</t>
        </is>
      </c>
      <c r="B22" s="39">
        <f>Assumptions!$B$13*B9</f>
        <v/>
      </c>
      <c r="C22" s="39">
        <f>Assumptions!$C$13*C9</f>
        <v/>
      </c>
      <c r="D22" s="6" t="inlineStr">
        <is>
          <t>$ / month</t>
        </is>
      </c>
    </row>
    <row r="23">
      <c r="A23" s="7" t="inlineStr">
        <is>
          <t>Blended contribution per user</t>
        </is>
      </c>
      <c r="B23" s="39">
        <f>Assumptions!$B$14*B17+(1-Assumptions!$B$14)*B22</f>
        <v/>
      </c>
      <c r="C23" s="39">
        <f>Assumptions!$C$14*C17+(1-Assumptions!$C$14)*C22</f>
        <v/>
      </c>
      <c r="D23" s="6" t="inlineStr">
        <is>
          <t>$ / month</t>
        </is>
      </c>
    </row>
    <row r="24">
      <c r="A24" s="7" t="inlineStr">
        <is>
          <t>Acquisition cost (CAC)</t>
        </is>
      </c>
      <c r="B24" s="12">
        <f>Assumptions!$B$22</f>
        <v/>
      </c>
      <c r="C24" s="12">
        <f>Assumptions!$C$22</f>
        <v/>
      </c>
      <c r="D24" s="6" t="inlineStr">
        <is>
          <t>$ / user</t>
        </is>
      </c>
    </row>
    <row r="25">
      <c r="A25" s="7" t="inlineStr">
        <is>
          <t>CAC payback</t>
        </is>
      </c>
      <c r="B25" s="15">
        <f>IF(B23&lt;=0,"n/a",B24/B23)</f>
        <v/>
      </c>
      <c r="C25" s="15">
        <f>IF(C23&lt;=0,"n/a",C24/C23)</f>
        <v/>
      </c>
      <c r="D25" s="6" t="inlineStr">
        <is>
          <t>months</t>
        </is>
      </c>
    </row>
    <row r="26">
      <c r="A26" s="7" t="inlineStr">
        <is>
          <t>Lifetime value (LTV)</t>
        </is>
      </c>
      <c r="B26" s="13">
        <f>IF(Assumptions!$B$21=0,"n/a",B23/Assumptions!$B$21)</f>
        <v/>
      </c>
      <c r="C26" s="13">
        <f>IF(Assumptions!$C$21=0,"n/a",C23/Assumptions!$C$21)</f>
        <v/>
      </c>
      <c r="D26" s="6" t="inlineStr">
        <is>
          <t>$</t>
        </is>
      </c>
    </row>
    <row r="27">
      <c r="A27" s="30" t="inlineStr">
        <is>
          <t>LTV to CAC</t>
        </is>
      </c>
      <c r="B27" s="40">
        <f>IF(B24=0,"n/a",B26/B24)</f>
        <v/>
      </c>
      <c r="C27" s="40">
        <f>IF(C24=0,"n/a",C26/C24)</f>
        <v/>
      </c>
      <c r="D27" s="6" t="inlineStr">
        <is>
          <t>x</t>
        </is>
      </c>
    </row>
    <row r="29">
      <c r="A29" s="2" t="inlineStr">
        <is>
          <t>LTV = blended contribution per user / monthly churn. Payback = CAC / blended contribution. Contribution counts payment fees, LLM and data; hosting, neatlogs and team are fixed costs on the model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2026-10-11T17:02:05Z</dcterms:created>
  <dcterms:modified xmlns:dcterms="http://purl.org/dc/terms/" xmlns:xsi="http://www.w3.org/2001/XMLSchema-instance" xsi:type="dcterms:W3CDTF">2026-10-11T17:02:05Z</dcterms:modified>
</cp:coreProperties>
</file>